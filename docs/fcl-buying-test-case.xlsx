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D:\VoYeu_ThanhHang\"/>
    </mc:Choice>
  </mc:AlternateContent>
  <xr:revisionPtr revIDLastSave="0" documentId="13_ncr:1_{1BE19D51-ECB1-4159-98D1-A03BC32C893B}" xr6:coauthVersionLast="46" xr6:coauthVersionMax="46" xr10:uidLastSave="{00000000-0000-0000-0000-000000000000}"/>
  <bookViews>
    <workbookView xWindow="-120" yWindow="-120" windowWidth="29040" windowHeight="15720" tabRatio="500" activeTab="1" xr2:uid="{00000000-000D-0000-FFFF-FFFF00000000}"/>
  </bookViews>
  <sheets>
    <sheet name="Tóm tắt" sheetId="1" r:id="rId1"/>
    <sheet name="Nghiệp vụ" sheetId="3" r:id="rId2"/>
    <sheet name="Scenario" sheetId="4" r:id="rId3"/>
    <sheet name="Checklist" sheetId="5" r:id="rId4"/>
    <sheet name="Test Case" sheetId="6" r:id="rId5"/>
    <sheet name="Bug Report" sheetId="7" r:id="rId6"/>
  </sheets>
  <definedNames>
    <definedName name="_xlnm._FilterDatabase" localSheetId="5" hidden="1">'Bug Report'!$A$3:$Q$14</definedName>
    <definedName name="_xlnm._FilterDatabase" localSheetId="3" hidden="1">Checklist!$A$3:$G$503</definedName>
    <definedName name="_xlnm._FilterDatabase" localSheetId="4" hidden="1">'Test Case'!$A$3:$Q$499</definedName>
  </definedNames>
  <calcPr calcId="181029" iterateDelta="1E-4"/>
</workbook>
</file>

<file path=xl/calcChain.xml><?xml version="1.0" encoding="utf-8"?>
<calcChain xmlns="http://schemas.openxmlformats.org/spreadsheetml/2006/main">
  <c r="F6" i="4" l="1"/>
  <c r="G6" i="4"/>
  <c r="H6" i="4"/>
  <c r="I6" i="4"/>
  <c r="J6" i="4"/>
  <c r="F7" i="4"/>
  <c r="G7" i="4"/>
  <c r="H7" i="4"/>
  <c r="I7" i="4"/>
  <c r="J7" i="4"/>
  <c r="F8" i="4"/>
  <c r="G8" i="4"/>
  <c r="H8" i="4"/>
  <c r="I8" i="4"/>
  <c r="E31" i="1" s="1"/>
  <c r="J8" i="4"/>
  <c r="F31" i="1" s="1"/>
  <c r="F9" i="4"/>
  <c r="G9" i="4"/>
  <c r="H9" i="4"/>
  <c r="I9" i="4"/>
  <c r="E32" i="1" s="1"/>
  <c r="J9" i="4"/>
  <c r="F10" i="4"/>
  <c r="G10" i="4"/>
  <c r="K10" i="4" s="1"/>
  <c r="H10" i="4"/>
  <c r="D33" i="1" s="1"/>
  <c r="I10" i="4"/>
  <c r="J10" i="4"/>
  <c r="F33" i="1" s="1"/>
  <c r="A41" i="1"/>
  <c r="A42" i="1"/>
  <c r="J19" i="4"/>
  <c r="F42" i="1" s="1"/>
  <c r="I19" i="4"/>
  <c r="E42" i="1" s="1"/>
  <c r="H19" i="4"/>
  <c r="D42" i="1" s="1"/>
  <c r="G19" i="4"/>
  <c r="C42" i="1" s="1"/>
  <c r="F19" i="4"/>
  <c r="B42" i="1" s="1"/>
  <c r="J18" i="4"/>
  <c r="F41" i="1" s="1"/>
  <c r="I18" i="4"/>
  <c r="E41" i="1" s="1"/>
  <c r="H18" i="4"/>
  <c r="D41" i="1" s="1"/>
  <c r="G18" i="4"/>
  <c r="C41" i="1" s="1"/>
  <c r="F18" i="4"/>
  <c r="B41" i="1" s="1"/>
  <c r="A131" i="6"/>
  <c r="A130" i="6"/>
  <c r="A129" i="6"/>
  <c r="A123" i="6"/>
  <c r="A118" i="6"/>
  <c r="A128" i="6"/>
  <c r="A127" i="6"/>
  <c r="A126" i="6"/>
  <c r="A125" i="6"/>
  <c r="A124" i="6"/>
  <c r="A90" i="6"/>
  <c r="A34" i="5"/>
  <c r="A114" i="6"/>
  <c r="A113" i="6"/>
  <c r="A112" i="6"/>
  <c r="A98" i="6"/>
  <c r="A97" i="6"/>
  <c r="A96" i="6"/>
  <c r="A95" i="6"/>
  <c r="A94" i="6"/>
  <c r="A93" i="6"/>
  <c r="A92" i="6"/>
  <c r="A99" i="6"/>
  <c r="A100" i="6"/>
  <c r="A101" i="6"/>
  <c r="A91" i="6"/>
  <c r="A87" i="6"/>
  <c r="A89" i="6"/>
  <c r="A88" i="6"/>
  <c r="A86" i="6"/>
  <c r="A83" i="6"/>
  <c r="A84" i="6"/>
  <c r="A85" i="6"/>
  <c r="A80" i="6"/>
  <c r="A82" i="6"/>
  <c r="A81" i="6"/>
  <c r="A50" i="5"/>
  <c r="A53" i="5"/>
  <c r="A52" i="5"/>
  <c r="A51" i="5"/>
  <c r="A49" i="5"/>
  <c r="A46" i="5"/>
  <c r="A40" i="5"/>
  <c r="A36" i="5"/>
  <c r="A65" i="3"/>
  <c r="A64" i="3"/>
  <c r="A63" i="3"/>
  <c r="A62" i="3"/>
  <c r="A61" i="3"/>
  <c r="A60" i="3"/>
  <c r="A59" i="3"/>
  <c r="A58" i="3"/>
  <c r="A40" i="3"/>
  <c r="A41" i="3"/>
  <c r="A42" i="3"/>
  <c r="A43" i="3"/>
  <c r="A44" i="3"/>
  <c r="A45" i="3"/>
  <c r="A46" i="3"/>
  <c r="A47" i="3"/>
  <c r="A48" i="3"/>
  <c r="A49" i="3"/>
  <c r="A50" i="3"/>
  <c r="A51" i="3"/>
  <c r="A52" i="3"/>
  <c r="A53" i="3"/>
  <c r="A54" i="3"/>
  <c r="A55" i="3"/>
  <c r="A56" i="3"/>
  <c r="A57" i="3"/>
  <c r="A39" i="3"/>
  <c r="J4" i="4"/>
  <c r="A34" i="1"/>
  <c r="A47" i="5"/>
  <c r="A38" i="5"/>
  <c r="A25" i="5"/>
  <c r="A24" i="5"/>
  <c r="A56" i="6"/>
  <c r="A55" i="6"/>
  <c r="F32" i="1"/>
  <c r="J11" i="4"/>
  <c r="F34" i="1" s="1"/>
  <c r="J12" i="4"/>
  <c r="F35" i="1" s="1"/>
  <c r="J14" i="4"/>
  <c r="F37" i="1" s="1"/>
  <c r="G15" i="4"/>
  <c r="J16" i="4"/>
  <c r="F39" i="1" s="1"/>
  <c r="A6" i="5"/>
  <c r="A5" i="5"/>
  <c r="A7" i="5"/>
  <c r="A8" i="5"/>
  <c r="A9" i="5"/>
  <c r="A10" i="5"/>
  <c r="A11" i="5"/>
  <c r="A12" i="5"/>
  <c r="A13" i="5"/>
  <c r="A14" i="5"/>
  <c r="A15" i="5"/>
  <c r="A16" i="5"/>
  <c r="A17" i="5"/>
  <c r="A18" i="5"/>
  <c r="A19" i="5"/>
  <c r="A20" i="5"/>
  <c r="A21" i="5"/>
  <c r="A22" i="5"/>
  <c r="A23" i="5"/>
  <c r="A26" i="5"/>
  <c r="A28" i="5"/>
  <c r="A29" i="5"/>
  <c r="A27" i="5"/>
  <c r="A30" i="5"/>
  <c r="A31" i="5"/>
  <c r="A32" i="5"/>
  <c r="A33" i="5"/>
  <c r="A35" i="5"/>
  <c r="A37" i="5"/>
  <c r="A39" i="5"/>
  <c r="A48" i="5"/>
  <c r="A41" i="5"/>
  <c r="A42" i="5"/>
  <c r="A43" i="5"/>
  <c r="A44" i="5"/>
  <c r="A45" i="5"/>
  <c r="A54" i="5"/>
  <c r="A55" i="5"/>
  <c r="A4" i="5"/>
  <c r="I15" i="4"/>
  <c r="E38" i="1" s="1"/>
  <c r="H15" i="4"/>
  <c r="D38" i="1" s="1"/>
  <c r="A32" i="6"/>
  <c r="A33" i="6"/>
  <c r="A34" i="6"/>
  <c r="A35" i="6"/>
  <c r="A36" i="6"/>
  <c r="A37" i="6"/>
  <c r="A38" i="6"/>
  <c r="A39" i="6"/>
  <c r="A40" i="6"/>
  <c r="A41" i="6"/>
  <c r="A42" i="6"/>
  <c r="A43" i="6"/>
  <c r="A44" i="6"/>
  <c r="A45" i="6"/>
  <c r="A46" i="6"/>
  <c r="A47" i="6"/>
  <c r="A48" i="6"/>
  <c r="A49" i="6"/>
  <c r="A16" i="6"/>
  <c r="A17" i="6"/>
  <c r="A50" i="6"/>
  <c r="A18" i="6"/>
  <c r="A51" i="6"/>
  <c r="A58" i="6"/>
  <c r="A59" i="6"/>
  <c r="A64" i="6"/>
  <c r="A60" i="6"/>
  <c r="A61" i="6"/>
  <c r="A62" i="6"/>
  <c r="A63" i="6"/>
  <c r="A65" i="6"/>
  <c r="A66" i="6"/>
  <c r="A67" i="6"/>
  <c r="A68" i="6"/>
  <c r="A69" i="6"/>
  <c r="A52" i="6"/>
  <c r="A53" i="6"/>
  <c r="A54" i="6"/>
  <c r="A57" i="6"/>
  <c r="A71" i="6"/>
  <c r="A70" i="6"/>
  <c r="A72" i="6"/>
  <c r="A73" i="6"/>
  <c r="A75" i="6"/>
  <c r="A74" i="6"/>
  <c r="A76" i="6"/>
  <c r="A77" i="6"/>
  <c r="A78" i="6"/>
  <c r="A79" i="6"/>
  <c r="A116" i="6"/>
  <c r="A102" i="6"/>
  <c r="A103" i="6"/>
  <c r="A104" i="6"/>
  <c r="A105" i="6"/>
  <c r="A106" i="6"/>
  <c r="A107" i="6"/>
  <c r="A108" i="6"/>
  <c r="A109" i="6"/>
  <c r="A110" i="6"/>
  <c r="A111" i="6"/>
  <c r="A115" i="6"/>
  <c r="A117" i="6"/>
  <c r="A119" i="6"/>
  <c r="A120" i="6"/>
  <c r="A121" i="6"/>
  <c r="A122" i="6"/>
  <c r="A132" i="6"/>
  <c r="A133" i="6"/>
  <c r="A134" i="6"/>
  <c r="A135" i="6"/>
  <c r="A136" i="6"/>
  <c r="A23" i="6"/>
  <c r="A24" i="6"/>
  <c r="A25" i="6"/>
  <c r="A26" i="6"/>
  <c r="A27" i="6"/>
  <c r="A28" i="6"/>
  <c r="A29" i="6"/>
  <c r="A30" i="6"/>
  <c r="A31" i="6"/>
  <c r="A6" i="6"/>
  <c r="A5" i="6"/>
  <c r="A7" i="6"/>
  <c r="A8" i="6"/>
  <c r="A9" i="6"/>
  <c r="A10" i="6"/>
  <c r="A11" i="6"/>
  <c r="A12" i="6"/>
  <c r="A13" i="6"/>
  <c r="A14" i="6"/>
  <c r="A15" i="6"/>
  <c r="A19" i="6"/>
  <c r="A20" i="6"/>
  <c r="A21" i="6"/>
  <c r="A22" i="6"/>
  <c r="A4" i="6"/>
  <c r="J20" i="4"/>
  <c r="F43" i="1" s="1"/>
  <c r="I20" i="4"/>
  <c r="E43" i="1" s="1"/>
  <c r="H20" i="4"/>
  <c r="D43" i="1" s="1"/>
  <c r="G20" i="4"/>
  <c r="F20" i="4"/>
  <c r="B43" i="1" s="1"/>
  <c r="J17" i="4"/>
  <c r="F40" i="1" s="1"/>
  <c r="I17" i="4"/>
  <c r="E40" i="1" s="1"/>
  <c r="H17" i="4"/>
  <c r="D40" i="1" s="1"/>
  <c r="G17" i="4"/>
  <c r="C40" i="1" s="1"/>
  <c r="F17" i="4"/>
  <c r="B40" i="1" s="1"/>
  <c r="J13" i="4"/>
  <c r="F36" i="1" s="1"/>
  <c r="I13" i="4"/>
  <c r="E36" i="1" s="1"/>
  <c r="H13" i="4"/>
  <c r="D36" i="1" s="1"/>
  <c r="G13" i="4"/>
  <c r="F13" i="4"/>
  <c r="I11" i="4"/>
  <c r="E34" i="1" s="1"/>
  <c r="H11" i="4"/>
  <c r="D34" i="1" s="1"/>
  <c r="G11" i="4"/>
  <c r="C34" i="1" s="1"/>
  <c r="F11" i="4"/>
  <c r="B34" i="1" s="1"/>
  <c r="E33" i="1"/>
  <c r="D32" i="1"/>
  <c r="C32" i="1"/>
  <c r="B32" i="1"/>
  <c r="D31" i="1"/>
  <c r="F30" i="1"/>
  <c r="E30" i="1"/>
  <c r="D30" i="1"/>
  <c r="C30" i="1"/>
  <c r="B30" i="1"/>
  <c r="F29" i="1"/>
  <c r="E29" i="1"/>
  <c r="D29" i="1"/>
  <c r="B29" i="1"/>
  <c r="J5" i="4"/>
  <c r="F28" i="1" s="1"/>
  <c r="I5" i="4"/>
  <c r="E28" i="1" s="1"/>
  <c r="H5" i="4"/>
  <c r="D28" i="1" s="1"/>
  <c r="G5" i="4"/>
  <c r="C28" i="1" s="1"/>
  <c r="F5" i="4"/>
  <c r="B28" i="1" s="1"/>
  <c r="A43" i="1"/>
  <c r="A40" i="1"/>
  <c r="A38" i="1"/>
  <c r="A37" i="1"/>
  <c r="A36" i="1"/>
  <c r="A35" i="1"/>
  <c r="A33" i="1"/>
  <c r="A32" i="1"/>
  <c r="A31" i="1"/>
  <c r="A30" i="1"/>
  <c r="A29" i="1"/>
  <c r="A28" i="1"/>
  <c r="G22" i="1"/>
  <c r="G21" i="1"/>
  <c r="G20" i="1"/>
  <c r="G19" i="1"/>
  <c r="B22" i="1"/>
  <c r="B21" i="1"/>
  <c r="B20" i="1"/>
  <c r="B19" i="1"/>
  <c r="B18" i="1"/>
  <c r="B23" i="1" s="1"/>
  <c r="B15" i="1"/>
  <c r="B11" i="1"/>
  <c r="B10" i="1"/>
  <c r="B9" i="1"/>
  <c r="B8" i="1"/>
  <c r="K8" i="4" l="1"/>
  <c r="K7" i="4"/>
  <c r="L9" i="4"/>
  <c r="K9" i="4"/>
  <c r="L6" i="4"/>
  <c r="G29" i="1" s="1"/>
  <c r="L8" i="4"/>
  <c r="G31" i="1" s="1"/>
  <c r="K6" i="4"/>
  <c r="L10" i="4"/>
  <c r="L13" i="4"/>
  <c r="G36" i="1" s="1"/>
  <c r="L7" i="4"/>
  <c r="G30" i="1" s="1"/>
  <c r="L20" i="4"/>
  <c r="G43" i="1" s="1"/>
  <c r="L15" i="4"/>
  <c r="G38" i="1" s="1"/>
  <c r="L11" i="4"/>
  <c r="G34" i="1" s="1"/>
  <c r="G32" i="1"/>
  <c r="L19" i="4"/>
  <c r="G42" i="1" s="1"/>
  <c r="L18" i="4"/>
  <c r="G41" i="1" s="1"/>
  <c r="L5" i="4"/>
  <c r="G28" i="1" s="1"/>
  <c r="L17" i="4"/>
  <c r="G40" i="1" s="1"/>
  <c r="K19" i="4"/>
  <c r="K18" i="4"/>
  <c r="A27" i="1"/>
  <c r="F4" i="4"/>
  <c r="B27" i="1" s="1"/>
  <c r="G4" i="4"/>
  <c r="H4" i="4"/>
  <c r="D27" i="1" s="1"/>
  <c r="A39" i="1"/>
  <c r="J15" i="4"/>
  <c r="F38" i="1" s="1"/>
  <c r="F16" i="4"/>
  <c r="B39" i="1" s="1"/>
  <c r="G16" i="4"/>
  <c r="F14" i="4"/>
  <c r="B37" i="1" s="1"/>
  <c r="H16" i="4"/>
  <c r="D39" i="1" s="1"/>
  <c r="G14" i="4"/>
  <c r="I16" i="4"/>
  <c r="E39" i="1" s="1"/>
  <c r="F12" i="4"/>
  <c r="B35" i="1" s="1"/>
  <c r="H14" i="4"/>
  <c r="D37" i="1" s="1"/>
  <c r="G12" i="4"/>
  <c r="I14" i="4"/>
  <c r="E37" i="1" s="1"/>
  <c r="B33" i="1"/>
  <c r="H12" i="4"/>
  <c r="D35" i="1" s="1"/>
  <c r="I12" i="4"/>
  <c r="E35" i="1" s="1"/>
  <c r="F15" i="4"/>
  <c r="B38" i="1" s="1"/>
  <c r="I4" i="4"/>
  <c r="E27" i="1" s="1"/>
  <c r="G18" i="1"/>
  <c r="B7" i="1"/>
  <c r="K13" i="4"/>
  <c r="K20" i="4"/>
  <c r="C38" i="1"/>
  <c r="C31" i="1"/>
  <c r="B12" i="1"/>
  <c r="B14" i="1" s="1"/>
  <c r="K17" i="4"/>
  <c r="K5" i="4"/>
  <c r="C29" i="1"/>
  <c r="B36" i="1"/>
  <c r="C43" i="1"/>
  <c r="F27" i="1"/>
  <c r="B31" i="1"/>
  <c r="C36" i="1"/>
  <c r="K11" i="4"/>
  <c r="C27" i="1" l="1"/>
  <c r="L4" i="4"/>
  <c r="G27" i="1" s="1"/>
  <c r="L16" i="4"/>
  <c r="G39" i="1" s="1"/>
  <c r="C35" i="1"/>
  <c r="L12" i="4"/>
  <c r="G35" i="1" s="1"/>
  <c r="C33" i="1"/>
  <c r="G33" i="1"/>
  <c r="C37" i="1"/>
  <c r="L14" i="4"/>
  <c r="G37" i="1" s="1"/>
  <c r="J21" i="4"/>
  <c r="K16" i="4"/>
  <c r="K4" i="4"/>
  <c r="C39" i="1"/>
  <c r="K12" i="4"/>
  <c r="K14" i="4"/>
  <c r="K15" i="4"/>
  <c r="F21" i="4"/>
  <c r="H21" i="4"/>
  <c r="G21" i="4"/>
  <c r="I21" i="4"/>
  <c r="B13" i="1"/>
  <c r="L21" i="4" l="1"/>
  <c r="K21" i="4"/>
</calcChain>
</file>

<file path=xl/sharedStrings.xml><?xml version="1.0" encoding="utf-8"?>
<sst xmlns="http://schemas.openxmlformats.org/spreadsheetml/2006/main" count="2186" uniqueCount="968">
  <si>
    <t>BÁO CÁO KẾT QUẢ KIỂM THỬ: GIÁ MUA FCL (FCL BUYING)</t>
  </si>
  <si>
    <t>THÔNG TIN ĐỢT TEST</t>
  </si>
  <si>
    <t>Tính năng kiểm thử</t>
  </si>
  <si>
    <t>Môi trường</t>
  </si>
  <si>
    <t>KẾT QUẢ TEST CASE</t>
  </si>
  <si>
    <t>Tổng số test case</t>
  </si>
  <si>
    <t>Pass</t>
  </si>
  <si>
    <t>Fail</t>
  </si>
  <si>
    <t>Blocked</t>
  </si>
  <si>
    <t>Not Run</t>
  </si>
  <si>
    <t>Đã thực hiện (Pass + Fail + Blocked)</t>
  </si>
  <si>
    <t>Tiến độ thực hiện</t>
  </si>
  <si>
    <t>Tỷ lệ Pass (trên số đã thực hiện)</t>
  </si>
  <si>
    <t>BUG</t>
  </si>
  <si>
    <t>Tổng số bug</t>
  </si>
  <si>
    <t>Critical</t>
  </si>
  <si>
    <t>Major</t>
  </si>
  <si>
    <t>Minor</t>
  </si>
  <si>
    <t>Trivial</t>
  </si>
  <si>
    <t>Bug chưa đóng (không tính Closed, Rejected)</t>
  </si>
  <si>
    <t>CHECKLIST</t>
  </si>
  <si>
    <t>Tổng số mục kiểm tra</t>
  </si>
  <si>
    <t>KẾT QUẢ THEO SCENARIO</t>
  </si>
  <si>
    <t>Scenario</t>
  </si>
  <si>
    <t>Số TC</t>
  </si>
  <si>
    <t>% Pass</t>
  </si>
  <si>
    <t>Bug ID</t>
  </si>
  <si>
    <t>BUG-001</t>
  </si>
  <si>
    <t>Tiêu đề</t>
  </si>
  <si>
    <t>Các bước tái hiện</t>
  </si>
  <si>
    <t>Kết quả thực tế</t>
  </si>
  <si>
    <t>Kết quả mong đợi</t>
  </si>
  <si>
    <t>TÓM TẮT NGHIỆP VỤ: GIÁ MUA FCL (FCL BUYING)</t>
  </si>
  <si>
    <t>1. TỔNG QUAN</t>
  </si>
  <si>
    <t>Mục</t>
  </si>
  <si>
    <t>Nội dung</t>
  </si>
  <si>
    <t>Tính năng</t>
  </si>
  <si>
    <t>Quản lý giá mua cước vận chuyển container nguyên (FCL Buying) trong module Pricing &gt; FCL Pricing &gt; FCL Buying của hệ thống quản lý logistics</t>
  </si>
  <si>
    <t>Mục đích</t>
  </si>
  <si>
    <t>Hỗ trợ người dùng tạo bảng giá thuê ngoài cho container nguyên</t>
  </si>
  <si>
    <t>Phạm vi tài liệu này</t>
  </si>
  <si>
    <t>Ngoài phạm vi</t>
  </si>
  <si>
    <t>2. LUỒNG TRẠNG THÁI (CÁC TAB)</t>
  </si>
  <si>
    <t>Tab / trạng thái</t>
  </si>
  <si>
    <t>Cách vào</t>
  </si>
  <si>
    <t>Thao tác cho phép (menu 3 chấm)</t>
  </si>
  <si>
    <t>Ghi chú</t>
  </si>
  <si>
    <t>Updating (Chờ cập nhật)</t>
  </si>
  <si>
    <t>Sau khi tạo mới thành công</t>
  </si>
  <si>
    <t>Send request, Edit, Delete</t>
  </si>
  <si>
    <t>Delete có xác nhận trước khi xóa</t>
  </si>
  <si>
    <t>Pending (Chờ duyệt)</t>
  </si>
  <si>
    <t>Sau khi Send request</t>
  </si>
  <si>
    <t>Accept, Reject, Edit</t>
  </si>
  <si>
    <t>Accepted (Đã duyệt)</t>
  </si>
  <si>
    <t>Sau khi Accept</t>
  </si>
  <si>
    <t>Revoke, Copy, Quickly create a Quotation</t>
  </si>
  <si>
    <t>Sau khi Reject</t>
  </si>
  <si>
    <t>Switch To Edit</t>
  </si>
  <si>
    <t>Revoked (Hủy)</t>
  </si>
  <si>
    <t>Chỉ xem</t>
  </si>
  <si>
    <t>3. CÁC TRƯỜNG TRÊN FORM TẠO MỚI</t>
  </si>
  <si>
    <t>Trường</t>
  </si>
  <si>
    <t>Bắt buộc</t>
  </si>
  <si>
    <t>Giá trị mặc định</t>
  </si>
  <si>
    <t>Trống</t>
  </si>
  <si>
    <t>Dropdown</t>
  </si>
  <si>
    <t>Place From / Place To</t>
  </si>
  <si>
    <t>Place of Receipt (Empty)</t>
  </si>
  <si>
    <t>Không</t>
  </si>
  <si>
    <t>Chỉ chọn 1 giá trị; nút + bị vô hiệu hóa</t>
  </si>
  <si>
    <t>Chọn nhiều giá trị; nút + mở popup chọn từ danh sách</t>
  </si>
  <si>
    <t>Service Type</t>
  </si>
  <si>
    <t>Transportation</t>
  </si>
  <si>
    <t>Customer</t>
  </si>
  <si>
    <t>Dropdown; ảnh hưởng danh sách Contract No</t>
  </si>
  <si>
    <t>Contract No</t>
  </si>
  <si>
    <t>Dropdown; Effective On và Expiry On của bản ghi lấy theo hợp đồng này; bắt buộc khi Send request</t>
  </si>
  <si>
    <t>Currency</t>
  </si>
  <si>
    <t>Price</t>
  </si>
  <si>
    <t>Số, có mũi tên tăng/giảm. CONFIRM: giá = 0 có hợp lệ không</t>
  </si>
  <si>
    <t>VAT Rate</t>
  </si>
  <si>
    <t>Không tick</t>
  </si>
  <si>
    <t>Checkbox</t>
  </si>
  <si>
    <t>Project Name / Note</t>
  </si>
  <si>
    <t>Chuỗi ký tự. CONFIRM: độ dài tối đa</t>
  </si>
  <si>
    <t>Return Assoc Freight Percent / Canceled Freight Percent</t>
  </si>
  <si>
    <t>Định dạng __;__ (số thập phân dùng dấu chấm)</t>
  </si>
  <si>
    <t>Status</t>
  </si>
  <si>
    <t>Nút thao tác</t>
  </si>
  <si>
    <t>Cancel, Save and Continue, Save</t>
  </si>
  <si>
    <t>4. QUY TẮC NGHIỆP VỤ</t>
  </si>
  <si>
    <t>Mã</t>
  </si>
  <si>
    <t>Quy tắc</t>
  </si>
  <si>
    <t>Nguồn</t>
  </si>
  <si>
    <t>Trạng thái</t>
  </si>
  <si>
    <t>Bản ghi mới tạo thành công nằm ở tab Updating</t>
  </si>
  <si>
    <t>Tài liệu</t>
  </si>
  <si>
    <t>Effective On và Expiry On được lưu khi tạo và là ngày của hợp đồng (Contract No)</t>
  </si>
  <si>
    <t>Return Assoc Freight Percent / Canceled Freight Percent theo định dạng __;__ (số thập phân dùng dấu chấm)</t>
  </si>
  <si>
    <t>Code sinh tự động theo dạng: số thứ tự + tháng + năm + /FBUY-&lt;mã chi nhánh&gt;</t>
  </si>
  <si>
    <t>Customer ảnh hưởng danh sách Contract No</t>
  </si>
  <si>
    <t>5. PHÂN QUYỀN (CẦN XÁC NHẬN)</t>
  </si>
  <si>
    <t>Thao tác</t>
  </si>
  <si>
    <t>Role được phép</t>
  </si>
  <si>
    <t>TEST SCENARIO VÀ TRUY VẾT</t>
  </si>
  <si>
    <t>Scenario ID</t>
  </si>
  <si>
    <t>Tên scenario</t>
  </si>
  <si>
    <t>Mục tiêu kiểm thử</t>
  </si>
  <si>
    <t>Độ ưu tiên</t>
  </si>
  <si>
    <t>Test case liên quan</t>
  </si>
  <si>
    <t>% Đã chạy</t>
  </si>
  <si>
    <t>% Pass (trên đã chạy)</t>
  </si>
  <si>
    <t>SC-01</t>
  </si>
  <si>
    <t>Hiển thị và giá trị mặc định của form tạo mới</t>
  </si>
  <si>
    <t>Medium</t>
  </si>
  <si>
    <t>TC-FB-001 đến 007</t>
  </si>
  <si>
    <t>SC-02</t>
  </si>
  <si>
    <t>Tạo giá mua FCL thành công và các nút thao tác</t>
  </si>
  <si>
    <t>High</t>
  </si>
  <si>
    <t>SC-03</t>
  </si>
  <si>
    <t>Kiểm tra trường bắt buộc</t>
  </si>
  <si>
    <t>Không lưu được khi thiếu trường có dấu (*); xử lý VAT Rate bị xóa giá trị mặc định</t>
  </si>
  <si>
    <t>SC-04</t>
  </si>
  <si>
    <t>Kiểm tra dữ liệu nhập</t>
  </si>
  <si>
    <t>Price, VAT Rate, % cước, Note, Project Name: giá trị hợp lệ, sai định dạng, giá trị biên</t>
  </si>
  <si>
    <t>SC-05</t>
  </si>
  <si>
    <t>Dropdown, lựa chọn và trường tùy chọn</t>
  </si>
  <si>
    <t>SC-06</t>
  </si>
  <si>
    <t>Ngày hiệu lực và hết hạn theo hợp đồng</t>
  </si>
  <si>
    <t>Effective On, Expiry On lấy đúng theo hợp đồng (Contract No) khi tạo</t>
  </si>
  <si>
    <t>SC-07</t>
  </si>
  <si>
    <t>SC-08</t>
  </si>
  <si>
    <t>SC-09</t>
  </si>
  <si>
    <t>SC-10</t>
  </si>
  <si>
    <t>SC-11</t>
  </si>
  <si>
    <t>SC-12</t>
  </si>
  <si>
    <t>SC-13</t>
  </si>
  <si>
    <t>SC-14</t>
  </si>
  <si>
    <t>SC-15</t>
  </si>
  <si>
    <t>Tổng</t>
  </si>
  <si>
    <t>CHECKLIST KIỂM TRA NHANH</t>
  </si>
  <si>
    <t>Mỗi dòng là một điểm kiểm tra chính. Dùng để smoke test nhanh và để người xem nắm tổng quan. Chi tiết xem ở sheet Test Case.</t>
  </si>
  <si>
    <t>Mục kiểm tra</t>
  </si>
  <si>
    <t>Kết quả</t>
  </si>
  <si>
    <t>Test case chi tiết</t>
  </si>
  <si>
    <t>TC-FB-001</t>
  </si>
  <si>
    <t>Giá trị mặc định đúng: Service Type, Currency, VAT Rate, Status</t>
  </si>
  <si>
    <t>Tạo thành công chỉ với các trường bắt buộc</t>
  </si>
  <si>
    <t>TC-FB-008</t>
  </si>
  <si>
    <t>Tạo thành công với đầy đủ tất cả các trường</t>
  </si>
  <si>
    <t>TC-FB-009</t>
  </si>
  <si>
    <t>Save and Continue, Cancel và nút đóng hoạt động đúng</t>
  </si>
  <si>
    <t>TC-FB-010 đến 012</t>
  </si>
  <si>
    <t>Bỏ trống toàn bộ form bị chặn</t>
  </si>
  <si>
    <t>Bỏ trống từng trường bắt buộc đều bị chặn</t>
  </si>
  <si>
    <t>Xóa giá trị mặc định của VAT Rate xử lý đúng</t>
  </si>
  <si>
    <t>Note, Project Name: tiếng Việt, ký tự đặc biệt, khoảng trắng, độ dài</t>
  </si>
  <si>
    <t>TC-FB-036 đến 039</t>
  </si>
  <si>
    <t>Danh sách Contract No theo Customer đã chọn</t>
  </si>
  <si>
    <t>Popup chọn nhiều giá trị ở Place of Loading/Unloading và Place of Return</t>
  </si>
  <si>
    <t>Effective On, Expiry On khớp ngày của hợp đồng đã chọn</t>
  </si>
  <si>
    <t>Bản ghi mới vào tab Updating, dữ liệu và số đếm đúng; menu 3 chấm đúng thao tác</t>
  </si>
  <si>
    <t>TC-FB-061</t>
  </si>
  <si>
    <t>TC-FB-067</t>
  </si>
  <si>
    <t>Bản ghi chưa có Contract No không Send request được</t>
  </si>
  <si>
    <t>TC-FB-073 đến 076</t>
  </si>
  <si>
    <t>Edit ở tab Updating: lưu đúng, chặn trường bắt buộc, hủy không lưu</t>
  </si>
  <si>
    <t>Delete có xác nhận: hủy thì không xóa, xác nhận thì xóa</t>
  </si>
  <si>
    <t>Accept có hoặc không có ghi chú: bản ghi chuyển sang tab Accepted</t>
  </si>
  <si>
    <t>Reject bắt buộc ghi chú: bản ghi chuyển sang tab Rejected</t>
  </si>
  <si>
    <t>Dữ liệu giữ nguyên sau Accept; hai người xử lý cùng bản ghi</t>
  </si>
  <si>
    <t>Revoke bắt buộc ghi chú: bản ghi chuyển sang tab Revoked</t>
  </si>
  <si>
    <t>Copy mở popup thêm mới, sao chép đúng các trường; trường loại trừ để trống hoặc mặc định</t>
  </si>
  <si>
    <t>Lưu bản sao: Code mới, nằm ở tab Updating; đóng popup và kiểm tra dữ liệu đúng</t>
  </si>
  <si>
    <t>Quickly create a Quotation chuyển đúng màn hình, điền sẵn đúng dữ liệu (kể cả trường nhiều giá trị)</t>
  </si>
  <si>
    <t>Quickly create a Quotation: trường trống, lưu báo giá, bản ghi giá mua không đổi</t>
  </si>
  <si>
    <t>Luồng đầy đủ Send request → Accept → Revoke và luồng từ chối</t>
  </si>
  <si>
    <t>Số đếm các tab khớp, refresh trang không đổi tab</t>
  </si>
  <si>
    <t>TEST CASE: GIÁ MUA FCL (UI)</t>
  </si>
  <si>
    <t>TC ID</t>
  </si>
  <si>
    <t>Module</t>
  </si>
  <si>
    <t>Chức năng</t>
  </si>
  <si>
    <t>Loại test</t>
  </si>
  <si>
    <t>Mô tả test case</t>
  </si>
  <si>
    <t>Precondition</t>
  </si>
  <si>
    <t>Test data</t>
  </si>
  <si>
    <t>Các bước thực hiện</t>
  </si>
  <si>
    <t>Người test</t>
  </si>
  <si>
    <t>Ngày test</t>
  </si>
  <si>
    <t>UI</t>
  </si>
  <si>
    <t>Form tạo mới hiển thị đầy đủ trường, dấu (*) và trạng thái nút + mặc định</t>
  </si>
  <si>
    <t>Không cần dữ liệu</t>
  </si>
  <si>
    <t>Giá trị mặc định khi mở form tạo mới</t>
  </si>
  <si>
    <t>Hiển thị tooltip giải thích đúng nội dung và không bị cắt chữ</t>
  </si>
  <si>
    <t>Low</t>
  </si>
  <si>
    <t>Thứ tự di chuyển bằng phím Tab hợp lý</t>
  </si>
  <si>
    <t>Focus di chuyển lần lượt theo bố cục form (trái sang phải, trên xuống dưới), không nhảy lung tung và không rơi ra ngoài form</t>
  </si>
  <si>
    <t>Mở lại form sau khi lưu thì form trở về mặc định</t>
  </si>
  <si>
    <t>Tạo 1 bản ghi rồi mở form tạo mới lần nữa</t>
  </si>
  <si>
    <t>Form trở về trạng thái mặc định, không giữ dữ liệu của lần trước</t>
  </si>
  <si>
    <t>VAT Rate mặc định lấy theo mã VATRate của ngày hiện tại</t>
  </si>
  <si>
    <t>Ngày hiện tại</t>
  </si>
  <si>
    <t>Currency mặc định theo giá trị tick Default ở Catalogue &gt; Currency</t>
  </si>
  <si>
    <t>Currency đang tick Default</t>
  </si>
  <si>
    <t>Currency mặc định trên form là loại tiền đang tick Default ở Catalogue &gt; Currency</t>
  </si>
  <si>
    <t>Positive</t>
  </si>
  <si>
    <t>Chỉ điền trường bắt buộc</t>
  </si>
  <si>
    <t>Lưu thành công, hiển thị thông báo thành công, form đóng; bản ghi mới xuất hiện trong danh sách với dữ liệu đúng như đã nhập</t>
  </si>
  <si>
    <t>Điền đủ tất cả trường</t>
  </si>
  <si>
    <t>Nút Cancel đóng form và không lưu dữ liệu</t>
  </si>
  <si>
    <t>Điền vài trường bất kỳ</t>
  </si>
  <si>
    <t>Form đóng, Không phát sinh bản ghi mới trong danh sách</t>
  </si>
  <si>
    <t>Nút đóng (X) góc trên phải đóng form và không lưu dữ liệu</t>
  </si>
  <si>
    <t>Validation</t>
  </si>
  <si>
    <t>Không lưu được khi để trống toàn bộ form</t>
  </si>
  <si>
    <t>Không nhập gì (giữ giá trị mặc định)</t>
  </si>
  <si>
    <t>Không lưu được; tất cả trường bắt buộc chưa có giá trị được đánh dấu lỗi; Không phát sinh bản ghi mới trong danh sách</t>
  </si>
  <si>
    <t>Không lưu được khi để trống trường bắt buộc "Supplier"</t>
  </si>
  <si>
    <t>Bỏ trống: Supplier</t>
  </si>
  <si>
    <t>Không lưu được khi để trống trường bắt buộc "Place From"</t>
  </si>
  <si>
    <t>Bỏ trống: Place From</t>
  </si>
  <si>
    <t>Không lưu được khi để trống trường bắt buộc "Place To"</t>
  </si>
  <si>
    <t>Bỏ trống: Place To</t>
  </si>
  <si>
    <t>Không lưu được khi để trống trường bắt buộc "Mode Of Transport"</t>
  </si>
  <si>
    <t>Bỏ trống: Mode Of Transport</t>
  </si>
  <si>
    <t>Không lưu được khi để trống trường bắt buộc "Weight Range"</t>
  </si>
  <si>
    <t>Bỏ trống: Weight Range</t>
  </si>
  <si>
    <t>Không lưu được khi để trống trường bắt buộc "Container Type"</t>
  </si>
  <si>
    <t>Bỏ trống: Container Type</t>
  </si>
  <si>
    <t>Không lưu được; trường "Container Type" được đánh dấu lỗi hoặc hiển thị thông báo bắt buộc; form giữ nguyên dữ liệu đã nhập; Không phát sinh bản ghi mới trong danh sách</t>
  </si>
  <si>
    <t>Không lưu được khi để trống trường bắt buộc "Currency"</t>
  </si>
  <si>
    <t>Bỏ trống: Currency</t>
  </si>
  <si>
    <t>Không lưu được khi để trống trường bắt buộc "Price"</t>
  </si>
  <si>
    <t>Bỏ trống: Price</t>
  </si>
  <si>
    <t>Lưu khi xóa giá trị mặc định của VAT Rate (để trống)</t>
  </si>
  <si>
    <t>VAT Rate: xóa giá trị mặc định, để trống</t>
  </si>
  <si>
    <t>Ô Price không nhận ký tự chữ</t>
  </si>
  <si>
    <t>Price = abc</t>
  </si>
  <si>
    <t>TC-FB-025</t>
  </si>
  <si>
    <t>Boundary</t>
  </si>
  <si>
    <t>Không lưu được khi Price là số âm</t>
  </si>
  <si>
    <t>Price = -1500000</t>
  </si>
  <si>
    <t>Không lưu được; báo lỗi Price không hợp lệ; Không phát sinh bản ghi mới trong danh sách</t>
  </si>
  <si>
    <t>Lưu với Price = 0 (giá trị biên)</t>
  </si>
  <si>
    <t>Price = 0</t>
  </si>
  <si>
    <t>Hệ thống xử lý đúng quy tắc nghiệp vụ (từ chối hoặc chấp nhận giá 0)</t>
  </si>
  <si>
    <t>Không lưu được khi VAT Rate là số âm</t>
  </si>
  <si>
    <t>VAT Rate = -1</t>
  </si>
  <si>
    <t>Không lưu được; báo lỗi VAT Rate không hợp lệ; Không phát sinh bản ghi mới trong danh sách</t>
  </si>
  <si>
    <t>Không lưu được khi VAT Rate lớn hơn 100</t>
  </si>
  <si>
    <t>VAT Rate = 101</t>
  </si>
  <si>
    <t>Nút tăng/giảm (mũi tên) của ô VAT Rate và Price hoạt động đúng</t>
  </si>
  <si>
    <t>Dùng mũi tên và bàn phím</t>
  </si>
  <si>
    <t>Giá trị tăng/giảm đúng bước; không cho giảm xuống dưới giới hạn cho phép; không nhảy giá trị bất thường</t>
  </si>
  <si>
    <t>Không lưu được; báo lỗi định dạng; Không phát sinh bản ghi mới trong danh sách</t>
  </si>
  <si>
    <t>Lưu đúng Note và Project Name chứa tiếng Việt có dấu và ký tự đặc biệt</t>
  </si>
  <si>
    <t>Note = "Ghi chú: hàng lạnh &amp; dễ vỡ (10%)"; Project Name = "Dự án Ánh Dương #1"</t>
  </si>
  <si>
    <t>Lưu thành công; Note và Project Name hiển thị lại đúng, không lỗi font, không mất ký tự</t>
  </si>
  <si>
    <t>Chỉ nhập khoảng trắng vào Project Name và Note</t>
  </si>
  <si>
    <t>Project Name = "   ", Note = "   "</t>
  </si>
  <si>
    <t>Hệ thống tự cắt khoảng trắng (trường để trống) hoặc báo lỗi rõ ràng; không lưu chuỗi toàn khoảng trắng</t>
  </si>
  <si>
    <t>Note nhiều dòng lưu và hiển thị đúng</t>
  </si>
  <si>
    <t>Note gồm 3 dòng (xuống dòng bằng Enter)</t>
  </si>
  <si>
    <t>Lưu thành công; Note giữ nguyên các dòng khi mở lại</t>
  </si>
  <si>
    <t>TC-FB-039</t>
  </si>
  <si>
    <t>Kiểm tra giới hạn độ dài Project Name và Note</t>
  </si>
  <si>
    <t>Project Name 300 ký tự, Note 5000 ký tự</t>
  </si>
  <si>
    <t>Hệ thống chấp nhận hoặc báo lỗi rõ ràng theo giới hạn nghiệp vụ; không lỗi hệ thống, không cắt cụt dữ liệu âm thầm</t>
  </si>
  <si>
    <t>Gõ 1 phần tên nhà cung cấp</t>
  </si>
  <si>
    <t>Danh sách lọc theo từ khóa; chọn được giá trị và hiển thị đúng trong ô</t>
  </si>
  <si>
    <t>Integration</t>
  </si>
  <si>
    <t>Danh sách Contract No phụ thuộc vào Customer đã chọn</t>
  </si>
  <si>
    <t>Chọn Customer rồi mở Contract No</t>
  </si>
  <si>
    <t>Contract No chỉ hiển thị các hợp đồng của Customer đã chọn</t>
  </si>
  <si>
    <t>Chọn nhiều Weekdays và lưu đúng</t>
  </si>
  <si>
    <t>Weekdays: Monday, Tuesday</t>
  </si>
  <si>
    <t>Lưu thành công; cột Weekdays hiển thị Monday;Tuesday</t>
  </si>
  <si>
    <t>Nút + cạnh Place of Loading/Unloading mở popup chọn nhiều giá trị</t>
  </si>
  <si>
    <t>Chọn 2-3 giá trị trong popup</t>
  </si>
  <si>
    <t>Popup mở đúng và cho chọn nhiều giá trị; các giá trị đã chọn hiển thị trong trường; lưu thành công và mở lại đủ các giá trị</t>
  </si>
  <si>
    <t>Nút + cạnh Place of Receipt (Empty) bị vô hiệu hóa vì trường chỉ chọn một giá trị</t>
  </si>
  <si>
    <t>Nút hiển thị màu nhạt (disabled); bấm vào không mở popup và không có phản hồi nào</t>
  </si>
  <si>
    <t>Effective On và Expiry On của bản ghi lấy đúng theo hợp đồng đã chọn</t>
  </si>
  <si>
    <t>Contract No có cả ngày hiệu lực và ngày hết hạn</t>
  </si>
  <si>
    <t>Negative</t>
  </si>
  <si>
    <t>Không tạo được bản ghi trùng qua giao diện</t>
  </si>
  <si>
    <t>Tạo 2 lần cùng dữ liệu</t>
  </si>
  <si>
    <t>Lần 2 bị từ chối vì trùng dữ liệu; danh sách chỉ có 1 bản ghi</t>
  </si>
  <si>
    <t>Mã Code của bản ghi mới được sinh tự động đúng định dạng</t>
  </si>
  <si>
    <t>Tạo bản ghi mới</t>
  </si>
  <si>
    <t>Code sinh tự động, không trùng; theo định dạng số thứ tự + tháng + năm + /FBUY-&lt;mã chi nhánh&gt; (ví dụ 0010826/FBUY-VNHCM)</t>
  </si>
  <si>
    <t>Bản ghi mới vào đúng tab Updating và bộ đếm tăng 1</t>
  </si>
  <si>
    <t>Nhấn Save nhiều lần liên tiếp chỉ tạo 1 bản ghi</t>
  </si>
  <si>
    <t>Nhấn Save 2-3 lần nhanh</t>
  </si>
  <si>
    <t>Menu 3 chấm ở tab Updating có đúng các thao tác của trạng thái này</t>
  </si>
  <si>
    <t>1. Vào Pricing &gt; FCL Pricing &gt; FCL Buying
2. Mở tab Updating
3. rê chuột vào nút 3 chấm của bản ghi
4. Ghi lại các mục trong menu</t>
  </si>
  <si>
    <t>Send request</t>
  </si>
  <si>
    <t>Send request thành công với Contract No và ghi chú</t>
  </si>
  <si>
    <t>Ghi chú: 'Gửi duyệt giá tháng này'</t>
  </si>
  <si>
    <t>1. Vào Pricing &gt; FCL Pricing &gt; FCL Buying
2. Ghi lại số đếm của các tab trước khi thao tác
3. Mở tab Updating, rê chuột vào nút 3 chấm của bản ghi, chọn Send request
4. Nhập ghi chú và xác nhận
5. Kiểm tra tab Updating và tab Pending</t>
  </si>
  <si>
    <t>Send request thành công khi không nhập ghi chú (ghi chú không bắt buộc)</t>
  </si>
  <si>
    <t>Ghi chú: để trống; bản ghi có Contract No</t>
  </si>
  <si>
    <t>1. Vào Pricing &gt; FCL Pricing &gt; FCL Buying
2. Mở tab Updating, rê chuột vào nút 3 chấm của bản ghi, chọn Send request
3. Để trống ghi chú và xác nhận
4. Kiểm tra tab Pending</t>
  </si>
  <si>
    <t>Không Send request được khi bản ghi chưa có Contract No</t>
  </si>
  <si>
    <t>Bản ghi không chọn Contract No</t>
  </si>
  <si>
    <t>1. Vào Pricing &gt; FCL Pricing &gt; FCL Buying
2. Mở tab Updating, chọn bản ghi không có Contract No
3. rê chuột vào nút 3 chấm của bản ghi, chọn Send request
4. Nhập ghi chú (nếu muốn) và xác nhận
5. Quan sát kết quả và số đếm các tab</t>
  </si>
  <si>
    <t>Không gửi được; báo lỗi bắt buộc Contract No; bản ghi vẫn ở tab Updating; số đếm các tab không đổi</t>
  </si>
  <si>
    <t>Send request với ghi chú tiếng Việt có dấu và ký tự đặc biệt</t>
  </si>
  <si>
    <t>Ghi chú: 'Giá áp dụng cho hàng lạnh &amp; dễ vỡ (10%)'</t>
  </si>
  <si>
    <t>1. Vào Pricing &gt; FCL Pricing &gt; FCL Buying
2. Mở tab Updating, rê chuột vào nút 3 chấm của bản ghi, chọn Send request
3. Nhập ghi chú theo Test data và xác nhận
4. Đăng nhập role duyệt, mở bản ghi ở tab Pending và xem ghi chú (nếu hiển thị)</t>
  </si>
  <si>
    <t>Gửi thành công; ghi chú hiển thị lại đúng, không lỗi font, không mất ký tự</t>
  </si>
  <si>
    <t>Send request với ghi chú rất dài</t>
  </si>
  <si>
    <t>Ghi chú dài 2000 ký tự</t>
  </si>
  <si>
    <t>1. Vào Pricing &gt; FCL Pricing &gt; FCL Buying
2. Mở tab Updating, rê chuột vào nút 3 chấm của bản ghi, chọn Send request
3. Nhập ghi chú 2000 ký tự và xác nhận
4. Quan sát kết quả</t>
  </si>
  <si>
    <t>Đóng popup Send request thì không gửi duyệt</t>
  </si>
  <si>
    <t>Ghi chú: nhập vài chữ</t>
  </si>
  <si>
    <t>1. Vào Pricing &gt; FCL Pricing &gt; FCL Buying
2. Mở tab Updating, rê chuột vào nút 3 chấm của bản ghi, chọn Send request
3. Nhập ghi chú rồi nhấn hủy hoặc nút đóng popup
4. Kiểm tra tab Updating và tab Pending</t>
  </si>
  <si>
    <t>Popup đóng; bản ghi vẫn ở tab Updating; số đếm các tab không đổi</t>
  </si>
  <si>
    <t>Nhấn xác nhận Send request nhiều lần liên tiếp chỉ gửi 1 lần</t>
  </si>
  <si>
    <t>Nhấn xác nhận 2-3 lần nhanh</t>
  </si>
  <si>
    <t>1. Vào Pricing &gt; FCL Pricing &gt; FCL Buying
2. Mở tab Updating, rê chuột vào nút 3 chấm của bản ghi, chọn Send request
3. Nhấn xác nhận liên tiếp nhanh 2-3 lần
4. Kiểm tra tab Pending</t>
  </si>
  <si>
    <t>Bản ghi chỉ xuất hiện 1 lần ở tab Pending; không có lỗi hoặc dữ liệu trùng</t>
  </si>
  <si>
    <t>Chọn 2 bản ghi đều có Contract No; ghi chú: 'Gửi duyệt hàng loạt'</t>
  </si>
  <si>
    <t>Gửi duyệt hàng loạt khi trong số bản ghi được chọn có bản ghi chưa có Contract No</t>
  </si>
  <si>
    <t>Chọn 3 bản ghi: 2 có Contract No, 1 không có</t>
  </si>
  <si>
    <t>Gửi duyệt hàng loạt bằng ô chọn tất cả</t>
  </si>
  <si>
    <t>Tick ô chọn tất cả ở tiêu đề danh sách</t>
  </si>
  <si>
    <t>Gửi duyệt hàng loạt khi chưa chọn bản ghi nào</t>
  </si>
  <si>
    <t>Không tick bản ghi nào</t>
  </si>
  <si>
    <t>1. Vào Pricing &gt; FCL Pricing &gt; FCL Buying
2. Mở tab Updating, không tick bản ghi nào
3. Tìm chức năng gửi duyệt hàng loạt và thử thực hiện
4. Quan sát phản hồi</t>
  </si>
  <si>
    <t>Dữ liệu bản ghi giữ nguyên sau khi Send request</t>
  </si>
  <si>
    <t>Bản ghi có Contract No</t>
  </si>
  <si>
    <t>1. Vào Pricing &gt; FCL Pricing &gt; FCL Buying
2. Mở tab Updating, ghi lại Code và các cột của bản ghi
3. Mở tab Updating, rê chuột vào nút 3 chấm của bản ghi, chọn Send request
4. Nhập ghi chú và xác nhận
5. Mở tab Pending, đối chiếu lại Code và các cột</t>
  </si>
  <si>
    <t>Edit bản ghi ở tab Updating và lưu thành công</t>
  </si>
  <si>
    <t>Edit không lưu được khi xóa trường bắt buộc</t>
  </si>
  <si>
    <t>Xóa giá trị Price</t>
  </si>
  <si>
    <t>1. Vào Pricing &gt; FCL Pricing &gt; FCL Buying
2. Mở tab Updating, rê chuột vào nút 3 chấm của bản ghi, chọn Edit
3. Xóa giá trị trường bắt buộc (ví dụ Price)
4. Nhấn Save
5. Quan sát thông báo lỗi và dữ liệu bản ghi</t>
  </si>
  <si>
    <t>Không lưu được; trường bị xóa được đánh dấu lỗi; dữ liệu cũ của bản ghi không bị thay đổi</t>
  </si>
  <si>
    <t>Hủy sửa thì không lưu thay đổi</t>
  </si>
  <si>
    <t>Sửa vài trường rồi Cancel</t>
  </si>
  <si>
    <t>1. Vào Pricing &gt; FCL Pricing &gt; FCL Buying
2. Mở tab Updating, rê chuột vào nút 3 chấm của bản ghi, chọn Edit
3. Sửa vài trường (Price, Note)
4. Nhấn Cancel hoặc nút đóng
5. Mở lại Edit và đối chiếu dữ liệu</t>
  </si>
  <si>
    <t>Form đóng; dữ liệu bản ghi giữ nguyên như trước khi sửa</t>
  </si>
  <si>
    <t>Đổi Contract No khi Edit thì Effective On, Expiry On theo hợp đồng mới</t>
  </si>
  <si>
    <t>Đổi từ hợp đồng A sang hợp đồng B</t>
  </si>
  <si>
    <t>1. Vào Pricing &gt; FCL Pricing &gt; FCL Buying
2. Mở tab Updating, rê chuột vào nút 3 chấm của bản ghi, chọn Edit
3. Đổi Contract No sang hợp đồng khác (ngày khác nhau)
4. Nhấn Save
5. Xem cột Contract No, Effective On, Expiry On trong danh sách</t>
  </si>
  <si>
    <t>Effective On và Expiry On khớp hợp đồng mới, không còn ngày của hợp đồng cũ</t>
  </si>
  <si>
    <t>Delete có popup xác nhận, chọn hủy thì không xóa</t>
  </si>
  <si>
    <t>1. Vào Pricing &gt; FCL Pricing &gt; FCL Buying
2. Mở tab Updating, rê chuột vào nút 3 chấm của bản ghi, chọn Delete
3. Ở popup xác nhận, chọn hủy hoặc đóng
4. Kiểm tra bản ghi và số đếm tab Updating</t>
  </si>
  <si>
    <t>Hiển thị popup xác nhận trước khi xóa; chọn hủy thì bản ghi vẫn còn; số đếm không đổi</t>
  </si>
  <si>
    <t>Delete bản ghi ở tab Updating sau khi xác nhận</t>
  </si>
  <si>
    <t>Bản ghi ở tab Updating</t>
  </si>
  <si>
    <t>1. Vào Pricing &gt; FCL Pricing &gt; FCL Buying
2. Ghi lại số đếm của các tab trước khi thao tác
3. Mở tab Updating, rê chuột vào nút 3 chấm của bản ghi, chọn Delete
4. Xác nhận xóa
5. Kiểm tra tab Updating và số đếm</t>
  </si>
  <si>
    <t>Hiển thị thông báo thành công; bản ghi biến mất khỏi tab Updating; số đếm Updating giảm 1</t>
  </si>
  <si>
    <t>Edit ở tab Pending</t>
  </si>
  <si>
    <t>Bản ghi ở tab Pending hiển thị đúng dữ liệu và Code giữ nguyên</t>
  </si>
  <si>
    <t>Bản ghi vừa Send request</t>
  </si>
  <si>
    <t>1. Vào Pricing &gt; FCL Pricing &gt; FCL Buying
2. Mở tab Pending, tìm bản ghi vừa gửi
3. Đối chiếu Code và các cột với dữ liệu lúc tạo</t>
  </si>
  <si>
    <t>Code và dữ liệu giữ nguyên như lúc tạo</t>
  </si>
  <si>
    <t>Menu 3 chấm ở tab Pending có Accept, Reject, Edit</t>
  </si>
  <si>
    <t>1. Vào Pricing &gt; FCL Pricing &gt; FCL Buying
2. Mở tab Pending
3. rê chuột vào nút 3 chấm của bản ghi
4. Ghi lại các mục trong menu</t>
  </si>
  <si>
    <t>Edit ở tab Pending chỉ cho sửa 6 trường</t>
  </si>
  <si>
    <t>1. Vào Pricing &gt; FCL Pricing &gt; FCL Buying
2. Mở tab Pending, rê chuột vào nút 3 chấm của bản ghi, chọn Edit
3. Thử chỉnh sửa lần lượt từng trường trên form</t>
  </si>
  <si>
    <t>Sửa 6 trường ở tab Pending và lưu thành công</t>
  </si>
  <si>
    <t>Lưu thành công; giá trị mới hiển thị đúng; bản ghi vẫn ở tab Pending; các trường khác không đổi</t>
  </si>
  <si>
    <t>Đổi Contract No ở tab Pending thì Effective On, Expiry On có đổi theo</t>
  </si>
  <si>
    <t>Đổi sang hợp đồng có ngày khác</t>
  </si>
  <si>
    <t>1. Vào Pricing &gt; FCL Pricing &gt; FCL Buying
2. Mở tab Pending, rê chuột vào nút 3 chấm của bản ghi, chọn Edit
3. Đổi Contract No sang hợp đồng có ngày khác
4. Nhấn Save
5. Xem cột Effective On, Expiry On trong danh sách</t>
  </si>
  <si>
    <t>Hủy sửa ở tab Pending thì không lưu thay đổi</t>
  </si>
  <si>
    <t>Sửa Note rồi Cancel</t>
  </si>
  <si>
    <t>1. Vào Pricing &gt; FCL Pricing &gt; FCL Buying
2. Mở tab Pending, rê chuột vào nút 3 chấm của bản ghi, chọn Edit
3. Sửa Note
4. Nhấn Cancel hoặc nút đóng
5. Mở lại Edit và đối chiếu</t>
  </si>
  <si>
    <t>Form đóng; dữ liệu giữ nguyên như trước khi sửa</t>
  </si>
  <si>
    <t>Accept và Reject</t>
  </si>
  <si>
    <t>Accept bản ghi thành công kèm ghi chú</t>
  </si>
  <si>
    <t>Ghi chú: 'Đồng ý giá'</t>
  </si>
  <si>
    <t>1. Vào Pricing &gt; FCL Pricing &gt; FCL Buying
2. Ghi lại số đếm của các tab trước khi thao tác
3. Mở tab Pending, rê chuột vào nút 3 chấm của bản ghi, chọn Accept
4. Nhập ghi chú ở popup và xác nhận
5. Kiểm tra tab Pending và tab Accepted</t>
  </si>
  <si>
    <t>Accept bản ghi thành công khi không nhập ghi chú</t>
  </si>
  <si>
    <t>Ghi chú: để trống</t>
  </si>
  <si>
    <t>1. Vào Pricing &gt; FCL Pricing &gt; FCL Buying
2. Mở tab Pending, rê chuột vào nút 3 chấm của bản ghi, chọn Accept
3. Để trống ghi chú ở popup và xác nhận
4. Kiểm tra tab Accepted</t>
  </si>
  <si>
    <t>Đóng popup Accept thì không đổi trạng thái</t>
  </si>
  <si>
    <t>1. Vào Pricing &gt; FCL Pricing &gt; FCL Buying
2. Mở tab Pending, rê chuột vào nút 3 chấm của bản ghi, chọn Accept
3. Đóng popup mà không xác nhận
4. Kiểm tra bản ghi và số đếm các tab</t>
  </si>
  <si>
    <t>Popup đóng; bản ghi vẫn ở tab Pending; số đếm các tab không đổi</t>
  </si>
  <si>
    <t>Nhấn xác nhận Accept nhiều lần liên tiếp chỉ duyệt 1 lần</t>
  </si>
  <si>
    <t>1. Vào Pricing &gt; FCL Pricing &gt; FCL Buying
2. Mở tab Pending, rê chuột vào nút 3 chấm của bản ghi, chọn Accept
3. Nhấn xác nhận liên tiếp nhanh 2-3 lần
4. Kiểm tra tab Accepted</t>
  </si>
  <si>
    <t>Bản ghi chỉ được duyệt 1 lần; không có bản ghi trùng hoặc lỗi hệ thống</t>
  </si>
  <si>
    <t>Reject bản ghi thành công kèm ghi chú</t>
  </si>
  <si>
    <t>Ghi chú: 'Giá chưa đúng thị trường'</t>
  </si>
  <si>
    <t>1. Vào Pricing &gt; FCL Pricing &gt; FCL Buying
2. Ghi lại số đếm của các tab trước khi thao tác
3. Mở tab Pending, rê chuột vào nút 3 chấm của bản ghi, chọn Reject
4. Nhập ghi chú ở popup và xác nhận
5. Kiểm tra tab Pending và tab Rejected</t>
  </si>
  <si>
    <t>Không Reject được khi không nhập ghi chú</t>
  </si>
  <si>
    <t>1. Vào Pricing &gt; FCL Pricing &gt; FCL Buying
2. Mở tab Pending, rê chuột vào nút 3 chấm của bản ghi, chọn Reject
3. Để trống ghi chú và xác nhận
4. Quan sát kết quả và số đếm các tab</t>
  </si>
  <si>
    <t>Không reject được; báo lỗi ghi chú bắt buộc; bản ghi vẫn ở tab Pending</t>
  </si>
  <si>
    <t>Đóng popup Reject thì không đổi trạng thái</t>
  </si>
  <si>
    <t>1. Vào Pricing &gt; FCL Pricing &gt; FCL Buying
2. Mở tab Pending, rê chuột vào nút 3 chấm của bản ghi, chọn Reject
3. Nhập ghi chú rồi đóng popup mà không xác nhận
4. Kiểm tra bản ghi và số đếm các tab</t>
  </si>
  <si>
    <t>Popup đóng; bản ghi vẫn ở tab Pending; số đếm không đổi</t>
  </si>
  <si>
    <t>Revoke</t>
  </si>
  <si>
    <t>1. Vào Pricing &gt; FCL Pricing &gt; FCL Buying
2. Mở tab Accepted
3. rê chuột vào nút 3 chấm của bản ghi
4. Ghi lại các mục trong menu</t>
  </si>
  <si>
    <t>1. Vào Pricing &gt; FCL Pricing &gt; FCL Buying
2. Ghi lại số đếm của các tab trước khi thao tác
3. Mở tab Accepted, rê chuột vào nút 3 chấm của bản ghi, chọn Revoke
4. Nhập ghi chú ở popup và xác nhận
5. Kiểm tra tab Accepted và tab Revoked</t>
  </si>
  <si>
    <t>Không Revoke được khi không nhập ghi chú</t>
  </si>
  <si>
    <t>1. Vào Pricing &gt; FCL Pricing &gt; FCL Buying
2. Mở tab Accepted, rê chuột vào nút 3 chấm của bản ghi, chọn Revoke
3. Để trống ghi chú và xác nhận
4. Quan sát kết quả và số đếm các tab</t>
  </si>
  <si>
    <t>Đóng popup Revoke thì không đổi trạng thái</t>
  </si>
  <si>
    <t>1. Vào Pricing &gt; FCL Pricing &gt; FCL Buying
2. Mở tab Accepted, rê chuột vào nút 3 chấm của bản ghi, chọn Revoke
3. Nhập ghi chú rồi đóng popup mà không xác nhận
4. Kiểm tra bản ghi và số đếm các tab</t>
  </si>
  <si>
    <t>Popup đóng; bản ghi vẫn ở tab Accepted; số đếm không đổi</t>
  </si>
  <si>
    <t>Bản ghi ở tab Revoked chỉ để xem, không có thao tác tiếp</t>
  </si>
  <si>
    <t>Bản ghi ở tab Revoked</t>
  </si>
  <si>
    <t>1. Vào Pricing &gt; FCL Pricing &gt; FCL Buying
2. Mở tab Revoked, tìm bản ghi đã revoke
3. rê chuột vào nút 3 chấm của bản ghi, ghi lại các mục trong menu</t>
  </si>
  <si>
    <t>1. Vào Pricing &gt; FCL Pricing &gt; FCL Buying
2. Mở tab Accepted, ghi lại Project Name, Note, hai % cước, Status, Dangerous Goods, Refrigerated Goods của bản ghi
3. rê chuột vào nút 3 chấm của bản ghi, chọn Copy
4. Quan sát 7 trường trên trong popup thêm mới</t>
  </si>
  <si>
    <t>Lưu bản sao thành công: Code mới, nằm ở tab Updating, bản gốc không đổi</t>
  </si>
  <si>
    <t>Popup Copy giữ nguyên dữ liệu được sao chép</t>
  </si>
  <si>
    <t>1. Vào Pricing &gt; FCL Pricing &gt; FCL Buying
2. Ghi lại số đếm của các tab trước khi thao tác và ghi lại Code của bản gốc
3. Mở tab Accepted, rê chuột vào nút 3 chấm của bản ghi, chọn Copy
4. Nhấn Save ở popup thêm mới
5. Kiểm tra tab Updating, tab Accepted và Code của bản sao</t>
  </si>
  <si>
    <t>Lưu thành công; bản sao xuất hiện ở tab Updating với Code mới đúng định dạng, không trùng bản gốc; Effective On, Expiry On khớp hợp đồng đã sao chép; bản gốc vẫn ở tab Accepted và không đổi; số đếm Updating tăng 1</t>
  </si>
  <si>
    <t>Đóng popup Copy thì không tạo bản sao</t>
  </si>
  <si>
    <t>1. Vào Pricing &gt; FCL Pricing &gt; FCL Buying
2. Ghi lại số đếm của các tab trước khi thao tác
3. Mở tab Accepted, rê chuột vào nút 3 chấm của bản ghi, chọn Copy
4. Nhấn Cancel hoặc nút đóng ở popup thêm mới
5. Kiểm tra các tab và bản gốc</t>
  </si>
  <si>
    <t>Popup đóng; không tạo bản sao; bản gốc không đổi; số đếm các tab không đổi</t>
  </si>
  <si>
    <t>Popup Copy áp dụng đúng kiểm tra dữ liệu của form tạo mới</t>
  </si>
  <si>
    <t>Xóa giá trị trường bắt buộc (Price)</t>
  </si>
  <si>
    <t>1. Vào Pricing &gt; FCL Pricing &gt; FCL Buying
2. Mở tab Accepted, rê chuột vào nút 3 chấm của bản ghi, chọn Copy
3. Xóa giá trị Price trong popup
4. Nhấn Save
5. Quan sát kết quả</t>
  </si>
  <si>
    <t>Không lưu được; Price được đánh dấu lỗi bắt buộc; không tạo bản sao; bản gốc không đổi</t>
  </si>
  <si>
    <t>Quickly create a Quotation chuyển sang màn hình Create FCL Quotation với bản ghi giá mua chọn sẵn</t>
  </si>
  <si>
    <t>Bản ghi ở tab Accepted</t>
  </si>
  <si>
    <t>1. Vào Pricing &gt; FCL Pricing &gt; FCL Buying
2. Mở tab Accepted, rê chuột vào nút 3 chấm của bản ghi, chọn Quickly create a Quotation
3. Quan sát màn hình sau khi chuyển
4. Kiểm tra bản ghi giá mua được chọn sẵn trên màn hình</t>
  </si>
  <si>
    <t>Chuyển sang màn hình Quotation &gt; Create FCL Quotation; bản ghi giá mua vừa chọn đã được chọn sẵn</t>
  </si>
  <si>
    <t>Dữ liệu điền sẵn trên màn hình báo giá khớp bản ghi giá mua</t>
  </si>
  <si>
    <t>Các trường nhiều giá trị được điền sẵn đủ tất cả giá trị</t>
  </si>
  <si>
    <t>Trường không có dữ liệu ở giá mua thì để trống trên màn hình báo giá</t>
  </si>
  <si>
    <t>1. Vào Pricing &gt; FCL Pricing &gt; FCL Buying
2. Mở tab Accepted, rê chuột vào nút 3 chấm của bản ghi, chọn Quickly create a Quotation
3. Đối chiếu các trường điền sẵn trên màn hình Create FCL Quotation</t>
  </si>
  <si>
    <t>Các trường không có dữ liệu ở bản ghi giá mua để trống trên màn hình báo giá; không lỗi, không điền nhầm giá trị của bản ghi khác</t>
  </si>
  <si>
    <t>Tạo báo giá FCL thành công từ màn hình được điền sẵn</t>
  </si>
  <si>
    <t>Bổ sung các trường bắt buộc còn thiếu của báo giá</t>
  </si>
  <si>
    <t>1. Vào Pricing &gt; FCL Pricing &gt; FCL Buying
2. Mở tab Accepted, rê chuột vào nút 3 chấm của bản ghi, chọn Quickly create a Quotation
3. Nhập các trường bắt buộc còn thiếu trên màn hình Create FCL Quotation
4. Nhấn Save
5. Mở báo giá vừa tạo và đối chiếu với bản ghi giá mua</t>
  </si>
  <si>
    <t>Lưu thành công; báo giá được tạo với dữ liệu điền sẵn đúng; liên kết đúng với bản ghi giá mua đã chọn</t>
  </si>
  <si>
    <t>Bản ghi giá mua không đổi sau khi tạo nhanh báo giá hoặc thoát màn hình</t>
  </si>
  <si>
    <t>1. Vào Pricing &gt; FCL Pricing &gt; FCL Buying
2. Mở tab Accepted, rê chuột vào nút 3 chấm của bản ghi, chọn Quickly create a Quotation
3. Thoát màn hình Create FCL Quotation mà không lưu
4. Quay lại FCL Buying, kiểm tra bản ghi và số đếm các tab</t>
  </si>
  <si>
    <t>Bản ghi giá mua vẫn ở tab Accepted; dữ liệu không đổi; số đếm các tab không đổi</t>
  </si>
  <si>
    <t>Switch To Edit đưa bản ghi Rejected về tab Updating</t>
  </si>
  <si>
    <t>Bản ghi ở tab Rejected</t>
  </si>
  <si>
    <t>Bản ghi rời tab Rejected, xuất hiện ở tab Updating; dữ liệu và Code giữ nguyên; số đếm hai tab thay đổi đúng</t>
  </si>
  <si>
    <t>Bản ghi sau khi Switch To Edit có đủ thao tác như bản ghi ở tab Updating</t>
  </si>
  <si>
    <t>Bản ghi vừa Switch To Edit</t>
  </si>
  <si>
    <t>1. Vào Pricing &gt; FCL Pricing &gt; FCL Buying
2. Mở tab Rejected, chọn Switch To Edit cho 1 bản ghi
3. Mở tab Updating, tìm bản ghi đó, rê chuột vào nút 3 chấm của bản ghi
4. Ghi lại các mục trong menu và thử Edit</t>
  </si>
  <si>
    <t>Menu có Send request, Edit, Delete; sửa được các trường như bản ghi ở tab Updating</t>
  </si>
  <si>
    <t>Switch To Edit rồi Send request lại thành công</t>
  </si>
  <si>
    <t>1. Vào Pricing &gt; FCL Pricing &gt; FCL Buying
2. Mở tab Rejected, rê chuột vào nút 3 chấm của bản ghi, chọn Switch To Edit
3. Mở tab Updating, rê chuột vào nút 3 chấm của bản ghi, chọn Edit, sửa 1 trường và lưu
4. rê chuột vào nút 3 chấm của bản ghi, chọn Send request và xác nhận
5. Kiểm tra tab Pending</t>
  </si>
  <si>
    <t>Bản ghi đi đúng thứ tự Rejected → Updating → Pending; dữ liệu đã sửa được giữ nguyên</t>
  </si>
  <si>
    <t>Menu 3 chấm ở tab Rejected chỉ có Switch To Edit</t>
  </si>
  <si>
    <t>1. Vào Pricing &gt; FCL Pricing &gt; FCL Buying
2. Mở tab Rejected
3. rê chuột vào nút 3 chấm của bản ghi
4. Ghi lại các mục trong menu</t>
  </si>
  <si>
    <t>Permission</t>
  </si>
  <si>
    <t>Đăng nhập role không có quyền tạo giá mua</t>
  </si>
  <si>
    <t>Role không có quyền Send request không gửi duyệt được</t>
  </si>
  <si>
    <t>Luồng end-to-end và đối soát</t>
  </si>
  <si>
    <t>Luồng đầy đủ: tạo mới → Send request → Accept → Revoke</t>
  </si>
  <si>
    <t>Dữ liệu hợp lệ có Contract No</t>
  </si>
  <si>
    <t>1. Vào Pricing &gt; FCL Pricing &gt; FCL Buying
2. Tạo mới 1 bản ghi hợp lệ có chọn Contract No và nhấn Save
3. Kiểm tra bản ghi ở tab Updating
4. rê chuột vào nút 3 chấm của bản ghi, chọn Send request, nhập ghi chú, xác nhận
5. Sang tab Pending, kiểm tra bản ghi
6. Đăng nhập role duyệt, rê chuột vào nút 3 chấm của bản ghi, chọn Accept, xác nhận
7. Kiểm tra bản ghi ở tab Accepted
8. rê chuột vào nút 3 chấm của bản ghi, chọn Revoke, nhập ghi chú (bắt buộc), xác nhận
9. Kiểm tra bản ghi ở tab Revoked</t>
  </si>
  <si>
    <t>Bản ghi đi đúng thứ tự Updating → Pending → Accepted → Revoked; mỗi thời điểm chỉ xuất hiện ở 1 tab; Code và dữ liệu giữ nguyên; số đếm các tab đúng sau mỗi bước</t>
  </si>
  <si>
    <t>Luồng từ chối: tạo mới → Send request → Reject → Switch To Edit → Send request → Accept</t>
  </si>
  <si>
    <t>1. Vào Pricing &gt; FCL Pricing &gt; FCL Buying
2. Tạo mới 1 bản ghi hợp lệ có chọn Contract No và nhấn Save
3. rê chuột vào nút 3 chấm của bản ghi, chọn Send request và xác nhận
4. Đăng nhập role duyệt, rê chuột vào nút 3 chấm của bản ghi ở tab Pending, chọn Reject, nhập ghi chú, xác nhận
5. Kiểm tra bản ghi ở tab Rejected
6. rê chuột vào nút 3 chấm của bản ghi, chọn Switch To Edit
7. Kiểm tra bản ghi ở tab Updating rồi Send request lại
8. Ở tab Pending, chọn Accept và xác nhận
9. Kiểm tra bản ghi ở tab Accepted</t>
  </si>
  <si>
    <t>Bản ghi đi đúng thứ tự Updating → Pending → Rejected → Updating → Pending → Accepted; dữ liệu và Code giữ nguyên; số đếm các tab đúng sau mỗi bước</t>
  </si>
  <si>
    <t>Số đếm các tab luôn khớp số dòng và tổng bản ghi không đổi</t>
  </si>
  <si>
    <t>Thực hiện đủ các thao tác gửi, duyệt, từ chối, hủy</t>
  </si>
  <si>
    <t>1. Vào Pricing &gt; FCL Pricing &gt; FCL Buying
2. Ghi lại số đếm của các tab trước khi thao tác
3. Thực hiện lần lượt: Send request 1 bản ghi, Accept 1 bản ghi, Reject 1 bản ghi, Revoke 1 bản ghi
4. Sau mỗi thao tác, đếm số dòng thực tế ở từng tab và so với số đếm hiển thị</t>
  </si>
  <si>
    <t>Số đếm trên tab luôn bằng số dòng thực tế; tổng số bản ghi của tất cả các tab không đổi (chỉ chuyển tab, không mất hoặc nhân đôi)</t>
  </si>
  <si>
    <t>Refresh trang, bản ghi vẫn ở đúng tab</t>
  </si>
  <si>
    <t>1. Vào Pricing &gt; FCL Pricing &gt; FCL Buying
2. Thực hiện 1 thao tác chuyển trạng thái bất kỳ (ví dụ Send request)
3. Nhấn F5 tải lại trang
4. Kiểm tra bản ghi và số đếm các tab</t>
  </si>
  <si>
    <t>Bản ghi vẫn ở đúng tab sau khi tải lại; số đếm không đổi</t>
  </si>
  <si>
    <t>Tìm bản ghi theo Code bằng bộ lọc ở từng tab</t>
  </si>
  <si>
    <t>Code của bản ghi vừa thao tác</t>
  </si>
  <si>
    <t>1. Vào Pricing &gt; FCL Pricing &gt; FCL Buying
2. Mở lần lượt tab Updating, Pending, Accepted, Rejected, Revoked
3. Gõ Code vào ô lọc cột Code
4. Quan sát kết quả</t>
  </si>
  <si>
    <t>Bộ lọc hiển thị đúng bản ghi thuộc tab đó; không hiện bản ghi thuộc tab khác</t>
  </si>
  <si>
    <t>BUG REPORT</t>
  </si>
  <si>
    <t>Build / Version</t>
  </si>
  <si>
    <t>Severity</t>
  </si>
  <si>
    <t>Priority</t>
  </si>
  <si>
    <t>Người báo</t>
  </si>
  <si>
    <t>Ngày báo</t>
  </si>
  <si>
    <t>Người xử lý</t>
  </si>
  <si>
    <t>TC liên quan</t>
  </si>
  <si>
    <t>Đính kèm (ảnh/log/video)</t>
  </si>
  <si>
    <t>Tick</t>
  </si>
  <si>
    <t>Form đủ trường, dấu (*), giá trị mặc định (Service Type, Currency, VAT Rate), trạng thái nút +</t>
  </si>
  <si>
    <t>1. Vào Pricing &gt; FCL Pricing &gt; FCL Buying
2. Nhấn nút Add New Buying để mở form tạo mới
3. Quan sát toàn bộ form
4. Đối chiếu nhãn, dấu (*) và trạng thái các nút + từng trường
5. So sánh với tài liệu nghiệp vụ</t>
  </si>
  <si>
    <t>1. Vào Pricing &gt; FCL Pricing &gt; FCL Buying
2. Nhấn nút Add New Buying để mở form tạo mới
3. Quan sát giá trị mặc định các trường
4. Không nhập gì
5. Ghi lại giá trị từng trường</t>
  </si>
  <si>
    <t>1. Vào Pricing &gt; FCL Pricing &gt; FCL Buying
2. Nhấn nút Add New Buying để mở form tạo mới
3. Rê chuột vào biểu tượng (i)
4. Đọc chú thích
5. Đối chiếu với nghiệp vụ</t>
  </si>
  <si>
    <t>1. Vào Pricing &gt; FCL Pricing &gt; FCL Buying
2. Nhấn nút Add New Buying để mở form tạo mới
3. Chọn Supplier, Place From, Place To, Mode Of Transport, Weight Range, Container Type; nhập Price (Service Type, Currency, VAT Rate giữ mặc định)
4. Lưu; nhấn nút thêm mới lần nữa
5. Quan sát form</t>
  </si>
  <si>
    <t>VAT Rate mặc định bằng mã VATRate có hiệu lực theo ngày hiện tại trong Accounting &gt; Parameters</t>
  </si>
  <si>
    <t>1. Vào Pricing &gt; FCL Pricing &gt; FCL Buying
2. Nhấn nút Add New Buying để mở form tạo mới
3. Bấm vào ô Supplier
4. Nhấn Tab liên tiếp qua các trường
5. Ghi lại thứ tự focus</t>
  </si>
  <si>
    <t>1. Mở màn hình Accounting &gt; Parameters, ghi lại mã VATRate có hiệu lực ở ngày hôm nay
2. Vào Pricing &gt; FCL Pricing &gt; FCL Buying
3. Nhấn nút Add New Buying để mở form tạo mới
4. Đối chiếu giá trị VAT Rate mặc định trên form</t>
  </si>
  <si>
    <t>1. Mở màn hình Catalogue &gt; Currency, ghi lại loại tiền đang tick Default
2. Vào Pricing &gt; FCL Pricing &gt; FCL Buying
3. Nhấn nút Add New Buying để mở form tạo mới
4. Đối chiếu giá trị Currency mặc định trên form</t>
  </si>
  <si>
    <t>1. Vào Pricing &gt; FCL Pricing &gt; FCL Buying
2. Nhấn nút Add New Buying để mở form tạo mới
3. Chọn Supplier, Place From, Place To, Mode Of Transport, Weight Range, Container Type; nhập Price (Service Type, Currency, VAT Rate giữ mặc định)
4. Nhấn Save
5. Kiểm tra bản ghi mới trong danh sách (tab Updating) và mở lại để đối chiếu dữ liệu</t>
  </si>
  <si>
    <t>1. Vào Pricing &gt; FCL Pricing &gt; FCL Buying
2. Nhấn nút Add New Buying để mở form tạo mới
3. Điền vài trường (Supplier, Place From, Price)
4. Nhấn Cancel
5. Kiểm tra danh sách</t>
  </si>
  <si>
    <t>1. Vào Pricing &gt; FCL Pricing &gt; FCL Buying
2. Nhấn nút Add New Buying để mở form tạo mới
3. Điền vài trường (Supplier, Place From, Price)
4. Nhấn nút đóng đỏ ở góc trên phải form
5. Kiểm tra danh sách</t>
  </si>
  <si>
    <t>1. Vào Pricing &gt; FCL Pricing &gt; FCL Buying
2. Nhấn nút Add New Buying để mở form tạo mới
3. Không nhập gì
4. Nhấn Save
5. Quan sát thông báo lỗi trên form</t>
  </si>
  <si>
    <t>1. Vào Pricing &gt; FCL Pricing &gt; FCL Buying
2. Nhấn nút Add New Buying để mở form tạo mới
3. Điền các trường bắt buộc còn lại; để trống Supplier
4. Nhấn Save
5. Quan sát thông báo lỗi và danh sách</t>
  </si>
  <si>
    <t>1. Vào Pricing &gt; FCL Pricing &gt; FCL Buying
2. Nhấn nút Add New Buying để mở form tạo mới
3. Điền các trường bắt buộc còn lại; để trống Place From
4. Nhấn Save
5. Quan sát thông báo lỗi và danh sách</t>
  </si>
  <si>
    <t>1. Vào Pricing &gt; FCL Pricing &gt; FCL Buying
2. Nhấn nút Add New Buying để mở form tạo mới
3. Điền các trường bắt buộc còn lại; để trống Place To
4. Nhấn Save
5. Quan sát thông báo lỗi và danh sách</t>
  </si>
  <si>
    <t>1. Vào Pricing &gt; FCL Pricing &gt; FCL Buying
2. Nhấn nút Add New Buying để mở form tạo mới
3. Điền các trường bắt buộc còn lại; để trống Mode Of Transport
4. Nhấn Save
5. Quan sát thông báo lỗi và danh sách</t>
  </si>
  <si>
    <t>1. Vào Pricing &gt; FCL Pricing &gt; FCL Buying
2. Nhấn nút Add New Buying để mở form tạo mới
3. Điền các trường bắt buộc còn lại; để trống Weight Range
4. Nhấn Save
5. Quan sát thông báo lỗi và danh sách</t>
  </si>
  <si>
    <t>1. Vào Pricing &gt; FCL Pricing &gt; FCL Buying
2. Nhấn nút Add New Buying để mở form tạo mới
3. Điền các trường bắt buộc còn lại; để trống Container Type
4. Nhấn Save
5. Quan sát thông báo lỗi và danh sách</t>
  </si>
  <si>
    <t>1. Vào Pricing &gt; FCL Pricing &gt; FCL Buying
2. Nhấn nút Add New Buying để mở form tạo mới
3. Điền các trường bắt buộc còn lại; để trống Price
4. Nhấn Save
5. Quan sát thông báo lỗi và danh sách</t>
  </si>
  <si>
    <t>1. Vào Pricing &gt; FCL Pricing &gt; FCL Buying
2. Nhấn nút Add New Buying để mở form tạo mới
3. Chọn Supplier, Place From, Place To, Mode Of Transport, Weight Range, Container Type; nhập Price (Service Type, Currency, VAT Rate giữ mặc định); xóa giá trị mặc định của VAT Rate
4. Nhấn Save
5. Kiểm tra kết quả và bản ghi vừa lưu</t>
  </si>
  <si>
    <t>1. Vào Pricing &gt; FCL Pricing &gt; FCL Buying
2. Nhấn nút Add New Buying để mở form tạo mới
3. Chọn Supplier, Place From, Place To, Mode Of Transport, Weight Range, Container Type; nhập Price = abc (Service Type, Currency, VAT Rate giữ mặc định)
4. Quan sát ô Price rồi nhấn Save
5. Kiểm tra giá trị ô Price</t>
  </si>
  <si>
    <t>1. Vào Pricing &gt; FCL Pricing &gt; FCL Buying
2. Nhấn nút Add New Buying để mở form tạo mới
3. Chọn Supplier, Place From, Place To, Mode Of Transport, Weight Range, Container Type; nhập Price = -1500000 (Service Type, Currency, VAT Rate giữ mặc định)
4. Nhấn Save
5. Quan sát thông báo lỗi và danh sách</t>
  </si>
  <si>
    <t>1. Vào Pricing &gt; FCL Pricing &gt; FCL Buying
2. Nhấn nút Add New Buying để mở form tạo mới
3. Chọn Supplier, Place From, Place To, Mode Of Transport, Weight Range, Container Type; nhập Price = 0 (Service Type, Currency, VAT Rate giữ mặc định)
4. Nhấn Save
5. Quan sát kết quả</t>
  </si>
  <si>
    <t>1. Vào Pricing &gt; FCL Pricing &gt; FCL Buying
2. Nhấn nút Add New Buying để mở form tạo mới
3. Chọn Supplier, Place From, Place To, Mode Of Transport, Weight Range, Container Type; nhập Price (Service Type, Currency, VAT Rate giữ mặc định); nhập VAT Rate = -1
4. Nhấn Save
5. Quan sát thông báo lỗi và danh sách</t>
  </si>
  <si>
    <t>1. Vào Pricing &gt; FCL Pricing &gt; FCL Buying
2. Nhấn nút Add New Buying để mở form tạo mới
3. Chọn Supplier, Place From, Place To, Mode Of Transport, Weight Range, Container Type; nhập Price (Service Type, Currency, VAT Rate giữ mặc định); nhập VAT Rate = 101
4. Nhấn Save
5. Quan sát thông báo lỗi và danh sách</t>
  </si>
  <si>
    <t>1. Vào Pricing &gt; FCL Pricing &gt; FCL Buying
2. Nhấn nút Add New Buying để mở form tạo mới
3. Bấm mũi tên lên/xuống ở VAT Rate và Price
4. Bấm giữ mũi tên và dùng phím lên/xuống
5. Ghi lại giá trị sau mỗi lần bấm</t>
  </si>
  <si>
    <t>1. Vào Pricing &gt; FCL Pricing &gt; FCL Buying
2. Nhấn nút Add New Buying để mở form tạo mới
3. Chọn Supplier, Place From, Place To, Mode Of Transport, Weight Range, Container Type; nhập Price (Service Type, Currency, VAT Rate giữ mặc định); nhập Note và Project Name theo Test data
4. Nhấn Save
5. Mở lại bản ghi và đối chiếu</t>
  </si>
  <si>
    <t>1. Vào Pricing &gt; FCL Pricing &gt; FCL Buying
2. Nhấn nút Add New Buying để mở form tạo mới
3. Chọn Supplier, Place From, Place To, Mode Of Transport, Weight Range, Container Type; nhập Price (Service Type, Currency, VAT Rate giữ mặc định); nhập chỉ khoảng trắng vào Project Name và Note
4. Nhấn Save
5. Mở lại bản ghi</t>
  </si>
  <si>
    <t>1. Vào Pricing &gt; FCL Pricing &gt; FCL Buying
2. Nhấn nút Add New Buying để mở form tạo mới
3. Chọn Supplier, Place From, Place To, Mode Of Transport, Weight Range, Container Type; nhập Price (Service Type, Currency, VAT Rate giữ mặc định); nhập Note 3 dòng
4. Nhấn Save
5. Mở lại bản ghi</t>
  </si>
  <si>
    <t>1. Vào Pricing &gt; FCL Pricing &gt; FCL Buying
2. Nhấn nút Add New Buying để mở form tạo mới
3. Chọn Supplier, Place From, Place To, Mode Of Transport, Weight Range, Container Type; nhập Price (Service Type, Currency, VAT Rate giữ mặc định); nhập Project Name 300 ký tự, Note 5000 ký tự
4. Nhấn Save
5. Quan sát kết quả</t>
  </si>
  <si>
    <t>1. Vào Pricing &gt; FCL Pricing &gt; FCL Buying
2. Nhấn nút Add New Buying để mở form tạo mới
3. Chọn 1 Customer
4. Mở dropdown Contract No
5. Đối chiếu hợp đồng với Customer</t>
  </si>
  <si>
    <t>1. Vào Pricing &gt; FCL Pricing &gt; FCL Buying
2. Nhấn nút Add New Buying để mở form tạo mới
3. Chọn Supplier, Place From, Place To, Mode Of Transport, Weight Range, Container Type; nhập Price (Service Type, Currency, VAT Rate giữ mặc định); chọn Weekdays = Monday và Tuesday
4. Nhấn Save
5. Xem cột Weekdays trong danh sách</t>
  </si>
  <si>
    <t>1. Vào Pricing &gt; FCL Pricing &gt; FCL Buying
2. Nhấn nút Add New Buying để mở form tạo mới
3. Chọn Supplier, Place From, Place To, Mode Of Transport, Weight Range, Container Type; nhập Price (Service Type, Currency, VAT Rate giữ mặc định)
4. Bấm nút + cạnh Place of Loading/Unloading, chọn 2-3 giá trị trong danh sách, xác nhận popup, nhấn Save
5. Mở lại bản ghi và kiểm tra trường Place of Loading/Unloading</t>
  </si>
  <si>
    <t>1. Vào Pricing &gt; FCL Pricing &gt; FCL Buying
2. Nhấn nút Add New Buying để mở form tạo mới
3. Quan sát nút + cạnh Place of Receipt (Empty)
4. Bấm vào nút + đó
5. Quan sát phản hồi của giao diện</t>
  </si>
  <si>
    <t>1. Vào Pricing &gt; FCL Pricing &gt; FCL Buying
2. Nhấn nút Add New Buying để mở form tạo mới
3. Chọn Supplier, Place From, Place To, Mode Of Transport, Weight Range, Container Type; nhập Price (Service Type, Currency, VAT Rate giữ mặc định) (lần 2: nhập đúng dữ liệu của lần 1)
4. Lưu lần 1, mở lại form, nhập lại dữ liệu y hệt và lưu lần 2
5. Kiểm tra danh sách</t>
  </si>
  <si>
    <t>1. Vào Pricing &gt; FCL Pricing &gt; FCL Buying
2. Nhấn nút Add New Buying để mở form tạo mới
3. Chọn Supplier, Place From, Place To, Mode Of Transport, Weight Range, Container Type; nhập Price (Service Type, Currency, VAT Rate giữ mặc định)
4. Nhấn Save
5. Xem cột Code của bản ghi mới và so sánh với các bản ghi cũ</t>
  </si>
  <si>
    <t>1. Vào Pricing &gt; FCL Pricing &gt; FCL Buying
2. Nhấn nút Add New Buying để mở form tạo mới
3. Ghi lại số ở tab Updating trước khi tạo; Chọn Supplier, Place From, Place To, Mode Of Transport, Weight Range, Container Type; nhập Price (Service Type, Currency, VAT Rate giữ mặc định)
4. Nhấn Save
5. So sánh số ở tab Updating trước và sau</t>
  </si>
  <si>
    <t>1. Vào Pricing &gt; FCL Pricing &gt; FCL Buying
2. Nhấn nút Add New Buying để mở form tạo mới
3. Chọn Supplier, Place From, Place To, Mode Of Transport, Weight Range, Container Type; nhập Price (Service Type, Currency, VAT Rate giữ mặc định)
4. Nhấn Save liên tiếp nhanh 2-3 lần
5. Kiểm tra danh sách</t>
  </si>
  <si>
    <t>Tạo giá mua FCL thành công với đầy đủ tất cả các trường</t>
  </si>
  <si>
    <t>Tạo giá mua FCL chỉ với các trường bắt buộc lưu thành công và giữ form cho nhập tiếp</t>
  </si>
  <si>
    <t>Lưu thành công, hiển thị thông báo "New data added" màu xanh, form đóng; bản ghi mới xuất hiện trong danh sách với dữ liệu đúng như đã nhập</t>
  </si>
  <si>
    <t>Không lưu được; trường "Supplier" được đánh dấu lỗi; form giữ nguyên dữ liệu đã nhập; Không phát sinh bản ghi mới trong danh sách</t>
  </si>
  <si>
    <t>Không lưu được; trường "Place From" được đánh dấu lỗi; form giữ nguyên dữ liệu đã nhập; Không phát sinh bản ghi mới trong danh sách</t>
  </si>
  <si>
    <t>Không lưu được; trường "Place To" được đánh dấu lỗi; form giữ nguyên dữ liệu đã nhập; Không phát sinh bản ghi mới trong danh sách</t>
  </si>
  <si>
    <t>Không lưu được; trường "Mode Of Transport" được đánh dấu lỗi; form giữ nguyên dữ liệu đã nhập; Không phát sinh bản ghi mới trong danh sách</t>
  </si>
  <si>
    <t>Không lưu được; trường "Weight Range" được đánh dấu lỗi; form giữ nguyên dữ liệu đã nhập; Không phát sinh bản ghi mới trong danh sách</t>
  </si>
  <si>
    <t>Không lưu được; trường "Currency" được đánh dấu lỗi; form giữ nguyên dữ liệu đã nhập; Không phát sinh bản ghi mới trong danh sách</t>
  </si>
  <si>
    <t>Không lưu được; trường "Price" được đánh dấu lỗi; form giữ nguyên dữ liệu đã nhập; Không phát sinh bản ghi mới trong danh sách</t>
  </si>
  <si>
    <t>Hệ thống xử lý đúng quy tắc nghiệp vụ lưu với VAT trống không lỗi hệ thống</t>
  </si>
  <si>
    <t>1. Vào Pricing &gt; FCL Pricing &gt; FCL Buying
2. Nhấn nút Add New Buying để mở form tạo mới
3. Điền các trường bắt buộc còn lại; để trống Currency (bấm dấu x để xóa)
4. Nhấn Save
5. Quan sát thông báo lỗi và danh sách</t>
  </si>
  <si>
    <t>Ô Price không nhận ký tự chữ; không lưu bản ghi với giá trị sai</t>
  </si>
  <si>
    <t>Lưu thành công, hiển thị thông báo "New data added" màu xanh, form đóng; bản ghi mới xuất hiện trong danh sách với tất cả các trường dữ liệu đúng như đã nhập trừ trường Price NULL</t>
  </si>
  <si>
    <t>CONFIRM với BA: giá = 0 có hợp lệ không?
Trường Price bắt buộc nhưng khi nhập 0 kết quả thực hiện lại là NULL =&gt; Price = 0 không hợp lệ</t>
  </si>
  <si>
    <t>VAT Rate và Price đều giảm được xuống giá trị âm. VAT Rate tăng được hơn 100</t>
  </si>
  <si>
    <t>Lưu được khi chỉ nhập Canceled Freight Percent không nhập Return Assoc Freight Percent</t>
  </si>
  <si>
    <t>Trường Project Name 300 ký tự báo, hiển thị thông báo New data added nhưng màu đỏ, form tạo mới giữ nguyên, danh sách không hiện thị dữ liệu mới</t>
  </si>
  <si>
    <t>Nút + cạnh Place of Return (Empty) mở popup chọn nhiều giá trị</t>
  </si>
  <si>
    <t>1. Vào Pricing &gt; FCL Pricing &gt; FCL Buying
2. Nhấn nút Add New Buying để mở form tạo mới
3. Chọn Supplier, Place From, Place To, Mode Of Transport, Weight Range, Container Type; nhập Price (Service Type, Currency, VAT Rate giữ mặc định)
4. Bấm nút + cạnh Place of Return (Empty), chọn 2-3 giá trị trong danh sách, xác nhận popup, nhấn Save
5. Mở lại bản ghi và kiểm tra trường Place of Return</t>
  </si>
  <si>
    <t>Báo lỗi yêu cầu nhập Contract No; không có bản ghi nào bị đổi trạng thái</t>
  </si>
  <si>
    <t>Không hiện thị nút Mass Request Approval</t>
  </si>
  <si>
    <t>1. Vào Pricing &gt; FCL Pricing &gt; FCL Buying
2. Ghi lại số đếm của các tab trước khi thao tác
3. Mở tab Updating, tick chọn các bản ghi cần gửi duyệt
4. Nhấn nút Mass Request Approval gửi duyệt hàng loạt, nhập ghi chú và xác nhận
5. Kiểm tra tab Updating và tab Pending</t>
  </si>
  <si>
    <t>1. Vào Pricing &gt; FCL Pricing &gt; FCL Buying
2. Ghi lại số đếm của các tab trước khi thao tác
3. Mở tab Updating, tick chọn các bản ghi cần gửi duyệt
4.Nhấn nút Mass Request Approval gửi duyệt hàng loạt, nhập ghi chú và xác nhận
5. Quan sát thông báo, tab Updating và tab Pending</t>
  </si>
  <si>
    <t>1. Vào Pricing &gt; FCL Pricing &gt; FCL Buying
2. Ghi lại số đếm của các tab trước khi thao tác
3. Mở tab Updating, tick ô chọn tất cả ở tiêu đề danh sách
4. Ghi lại số bản ghi được chọn
5. Nhấn nút Mass Request Approval gửi duyệt hàng loạt, nhập ghi chú và xác nhận
6. Kiểm tra tab Updating và tab Pending</t>
  </si>
  <si>
    <t>Toàn bộ dữ liệu bản ghi không đổi sau khi gửi duyệt</t>
  </si>
  <si>
    <t>Edit ở tab Updating</t>
  </si>
  <si>
    <t>Sửa tất cả các trường bắt buộc</t>
  </si>
  <si>
    <t>Edit tab Updating</t>
  </si>
  <si>
    <t>1. Vào Pricing &gt; FCL Pricing &gt; FCL Buying
2. Mở tab Updating, rê chuột vào nút 3 chấm của bản ghi, chọn Edit
3. Sửa Supplier, Place From, Place To, Mode Of Transport, Weight Range, Container Type; Price; Currency, VAT Rate sang giá trị khác
4. Nhấn Save
5. Xem lại bản ghi trong danh sách và mở lại Edit</t>
  </si>
  <si>
    <t>Lưu thành công; giá trị mới hiển thị đúng; bản ghi vẫn ở tab Updating</t>
  </si>
  <si>
    <t>Delete ở tab Updating</t>
  </si>
  <si>
    <t>Chỉ sửa được Place of Receipt, Place of Loading/Unloading,Place of Return (Empty)
,Contract No, Status, Note; các trường còn lại bị khóa (không sửa được)</t>
  </si>
  <si>
    <t>Đổi Place of Receipt, Place of Loading/Unloading,Place of Return (Empty), Contract No, Status, Note</t>
  </si>
  <si>
    <t>1. Vào Pricing &gt; FCL Pricing &gt; FCL Buying
2. Mở tab Pending, rê chuột vào nút 3 chấm của bản ghi, chọn Edit
3. Sửa Place of Receipt, Place of Loading/Unloading,Place of Return (Empty), Contract No, Status, Note
4. Nhấn Save
5. Xem lại bản ghi</t>
  </si>
  <si>
    <t>Accept</t>
  </si>
  <si>
    <t>Reject</t>
  </si>
  <si>
    <t>Dữ liệu giữ nguyên; không có thao tác khác  (chỉ có Dollar, ngoài phạm vi)</t>
  </si>
  <si>
    <t>Copy</t>
  </si>
  <si>
    <t>Quickly create a Quotation</t>
  </si>
  <si>
    <t>Project Name, Return Assoc Freight Percent, Canceled Freight Percent, Note để trống; Status, Dangerous Goods, Refrigerated Goods ở giá trị mặc định của form tạo mới (Status bât; hai checkbox không tick); không lấy giá trị của bản gốc</t>
  </si>
  <si>
    <t>Các trường không được sao chép ở popup Copy để trống</t>
  </si>
  <si>
    <t>Menu có Switch To Edit (Dollar nằm ngoài phạm vi)</t>
  </si>
  <si>
    <t>BUG-002</t>
  </si>
  <si>
    <t>BUG-003</t>
  </si>
  <si>
    <t>BUG-004</t>
  </si>
  <si>
    <t>BUG-005</t>
  </si>
  <si>
    <t>Cho phép lưu VAT Rate là số âm hoặc lớn hơn 100</t>
  </si>
  <si>
    <t>1. Vào Pricing &gt; FCL Pricing &gt; FCL Buying
2. Nhấn nút Add New Buying để mở form tạo mới
3. Chọn Supplier, Place From, Place To, Mode Of Transport, Weight Range, Container Type; nhập Price (Service Type, Currency, VAT Rate giữ mặc định); lần 1 nhập -1, lần 2 nhập 101
4. Nhấn Save
5. Quan sát thông báo lỗi và danh sách</t>
  </si>
  <si>
    <t>Nút tăng/giảm (mũi tên) của ô VAT Rate và Price vượt giới hạn cho phép</t>
  </si>
  <si>
    <t>1. Vào Pricing &gt; FCL Pricing &gt; FCL Buying
2. Nhấn nút Add New Buying để mở form tạo mới
3. Chọn Supplier, Place From, Place To, Mode Of Transport, Weight Range, Container Type; nhập Price (Service Type, Currency, VAT Rate giữ mặc định); nhập Canceled Freight Percent lần 1 (9,5;9,5), 2 (abc;abc), 3 (-1;9), 4 (101;9)
4. Nhấn Save
5. Quan sát thông báo lỗi và danh sách</t>
  </si>
  <si>
    <t>Cho phép lưu được khi Freight Percent dùng dấu phẩy, chứa ký tự chữ, số âm hoặc lớn hơn 100</t>
  </si>
  <si>
    <t>Hiển thị thông báo New data added nhưng màu đỏ, form tạo mới giữ nguyên, danh sách không hiện thị dữ liệu mới</t>
  </si>
  <si>
    <t>Nếu vượt giới hạn: báo lỗi màu đỏ nêu rõ trường và độ dài tối đa, không hiện 'New data added'. Nếu hợp lệ: thông báo màu thành công, form đóng, bản ghi xuất hiện trong danh sách</t>
  </si>
  <si>
    <t>Thông báo "New data added" hiển thị màu đỏ và không tạo bản ghi khi Project Name quá dài</t>
  </si>
  <si>
    <t>1. Vào Pricing &gt; FCL Pricing &gt; FCL Buying
2. Nhấn nút Add New Buying để mở form tạo mới
3. Chọn Supplier, Place From, Place To, Mode Of Transport, Weight Range, Container Type; nhập Price (Service Type, Currency, VAT Rate giữ mặc định); nhập Project Name 300 ký tự
4. Nhấn Save
5. Quan sát kết quả</t>
  </si>
  <si>
    <t>menu Dollar</t>
  </si>
  <si>
    <t>Hiển thị thông báo thành công; bản ghi rời tab Pending, xuất hiện ở tab Accepted; số đếm hai 2 thay đổi đúng</t>
  </si>
  <si>
    <t>Hiển thị thông báo thành công; bản ghi rời tab Pending, xuất hiện ở tab Rejected; số đếm 2 tab thay đổi đúng</t>
  </si>
  <si>
    <t>Hiển thị thông báo thành công; bản ghi rời tab Updating, xuất hiện ở tab Pending; số đếm các tab thay đổi đúng</t>
  </si>
  <si>
    <t>Hiển thị thông báo thành công; các bản ghi rời tab Updating, xuất hiện ở tab Pending; số đếm các tab thay đổi đúng; không ảnh hưởng bản ghi không được chọn</t>
  </si>
  <si>
    <t>Hiển thị thông báo thành công; cả 2 bản ghi rời tab Updating, xuất hiện ở tab Pending; số đếm các tab thay đổi đúng; không ảnh hưởng bản ghi không được chọn</t>
  </si>
  <si>
    <t xml:space="preserve">Effective On, Expiry On thay đổi theo Contract No đã chọn </t>
  </si>
  <si>
    <t>Service Type = Transportation; Currency = giá trị đang tick Default trong Catalogue &gt; Currency; VAT Rate = mã VATRate có hiệu lực theo ngày hiện tại trong Accounting &gt; Parameters; Status bật; Include VAT, Dangerous Goods, Refrigerated Goods không tick; các trường còn lại trống và hiển thị placeholder</t>
  </si>
  <si>
    <t xml:space="preserve">Form có đủ: Supplier, Place From, Place To, Place of Receipt, Place of Loading/Unloading, Place of Return, Service Type, Customer, Mode Of Transport, Weight Range, Container Type, Contract No, Weekdays, Currency, Price, VAT Rate, Include VAT, Project Name, Return Assoc Freight Percent, Canceled Freight Percent, Note, Status, Dangerous Goods, Refrigerated Goods, nút Cancel, Save and Continue, Save. Dấu (*) đỏ ở: Supplier, Place From, Place To, Service Type, Mode Of Transport, Weight Range, Container Type, Currency, Price. Nút + cạnh Place of Loading/Unloading và Place of Return đang bật (màu xanh đậm, click được); nút + cạnh Place of Receipt (Empty) bị vô hiệu hóa (màu nhạt, không click được) </t>
  </si>
  <si>
    <t>Biểu tượng thông tin (i) cạnh Place of Receipt (Empty), Place of Loading/Unloading, Place of Return (Empty) hiển thị chú thích</t>
  </si>
  <si>
    <t>Tạo giá mua FCL thành công chỉ với các trường bắt buộc</t>
  </si>
  <si>
    <t>1. Vào Pricing &gt; FCL Pricing &gt; FCL Buying
2. Nhấn nút Add New Buying để mở form tạo mới
3. Điền tất cả trường: Supplier, Place From, Place To, Place of Receipt, Place of Loading/Unloading, Place of Return, Service Type, Customer, Mode Of Transport, Weight Range, Container Type, Contract No, Weekdays, Currency, Price, VAT Rate, Include VAT, Project Name, Return Assoc Freight Percent, Canceled Freight Percent, Note, Dangerous Goods, Refrigerated Goods
4. Nhấn Save
5. Kiểm tra bản ghi mới trong danh sách (tab Updating) và mở lại để đối chiếu dữ liệu</t>
  </si>
  <si>
    <t>nhập cả Return Assoc Freight Percent, Canceled Freight Percent = "abc;abc"</t>
  </si>
  <si>
    <t>1. Vào Pricing &gt; FCL Pricing &gt; FCL Buying
2. Nhấn nút Add New Buying để mở form tạo mới
3. Chọn Supplier, Place From, Place To, Mode Of Transport, Weight Range, Container Type; nhập Price (Service Type, Currency, VAT Rate giữ mặc định); nhập cả Return Assoc Freight Percent, Canceled Freight Percent = abc;abc
4. Nhấn Save
5. Quan sát thông báo lỗi và danh sách</t>
  </si>
  <si>
    <t>nhập cả Return Assoc Freight Percent, Canceled Freight Percent = "-1;9" và "101;9" (thử lần lượt)</t>
  </si>
  <si>
    <t>1. Vào Pricing &gt; FCL Pricing &gt; FCL Buying
2. Nhấn nút Add New Buying để mở form tạo mới
3. Chọn Supplier, Place From, Place To, Mode Of Transport, Weight Range, Container Type; nhập Price (Service Type, Currency, VAT Rate giữ mặc định); nhập cả Return Assoc Freight Percent, Canceled Freight Percent = -1;9 rồi thử 101;9
4. Nhấn Save
5. Quan sát thông báo lỗi và danh sách</t>
  </si>
  <si>
    <t>Lưu thành công, hiển thị thông báo "New data added" màu xanh; form vẫn mở để nhập bản ghi mới, để trống các trường Weight Range, Container Type, Weekdays, Return Assoc Freight Percent, Canceled Freight Percent, Note; Dangerous Goods, Refrigerated Goods không tick; bản ghi vừa lưu có trong danh sách</t>
  </si>
  <si>
    <t>Nhập Freight Percent thập phân dùng dấu chấm</t>
  </si>
  <si>
    <t>1. Vào Pricing &gt; FCL Pricing &gt; FCL Buying
2. Nhấn nút Add New Buying để mở form tạo mới
3. Chọn Supplier, Place From, Place To, Mode Of Transport, Weight Range, Container Type; nhập Price (Service Type, Currency, VAT Rate giữ mặc định); nhập Return Assoc Freight Percent, Canceled Freight Percent = 9.5;9.5
4. Nhấn Save
5. Kiểm tra bản ghi mới trong danh sách (tab Updating) và mở lại để đối chiếu dữ liệu</t>
  </si>
  <si>
    <t>Return Assoc Freight Percent, Canceled Freight Percent = 9.5;9.5</t>
  </si>
  <si>
    <t>Không lưu được khi Freight Percent dùng dấu phẩy</t>
  </si>
  <si>
    <t>Return Assoc Freight Percent, Canceled Freight Percent = "9,5;9,5"</t>
  </si>
  <si>
    <t>1. Vào Pricing &gt; FCL Pricing &gt; FCL Buying
2. Nhấn nút Add New Buying để mở form tạo mới
3. Chọn Supplier, Place From, Place To, Mode Of Transport, Weight Range, Container Type; nhập Price (Service Type, Currency, VAT Rate giữ mặc định); nhập Return Assoc Freight Percent, Canceled Freight Percent = 9,5;9,5
4. Nhấn Save
5. Quan sát thông báo lỗi và danh sách</t>
  </si>
  <si>
    <t>Không lưu được khi Freight Percent chứa ký tự chữ</t>
  </si>
  <si>
    <t>Không lưu được khi Freight Percent là số âm hoặc lớn hơn 100</t>
  </si>
  <si>
    <t>Bản ghi mới xuất hiện trong tab Updating; số đếm các tab thay đổi đúng</t>
  </si>
  <si>
    <t>Chỉ tạo đúng 1 bản ghi; nút Save bị vô hiệu hóa</t>
  </si>
  <si>
    <t>Menu hiện khi rê chuột và có Send request, Edit, Delete (Dollar nằm ngoài phạm vi)</t>
  </si>
  <si>
    <t>Bản ghi sau khi gửi duyệt (tab Pending)</t>
  </si>
  <si>
    <t>Menu có Accept, Reject, Edit (Dollar nằm ngoài phạm vi)</t>
  </si>
  <si>
    <t>Menu có Revoke, Copy, Quickly create a Quotation (Dollar nằm ngoài phạm vi)</t>
  </si>
  <si>
    <t>Place (chọn 1 hoặc nhiều giá trị), Customer, Contract No, Weekday</t>
  </si>
  <si>
    <t>Kiểm tra tạo bản ghi thành công (Save, Save and Continue, chống trùng, sinh mã Code, chống double-click), nút Cancel và đóng form không lưu dữ liệu</t>
  </si>
  <si>
    <t>Bản ghi sau khi tạo tại tab Updating</t>
  </si>
  <si>
    <t>Gửi duyệt (Send request) đơn lẻ và hàng loạt</t>
  </si>
  <si>
    <t>Bản ghi sau khi duyệt (tab Accepted)</t>
  </si>
  <si>
    <t>Bản ghi sau khi hủy (tab Revoked)</t>
  </si>
  <si>
    <t>Kiểm tra bản ghi hiển thị và đúng hành đông</t>
  </si>
  <si>
    <t>Bản ghi ở tab Pending</t>
  </si>
  <si>
    <t>Bản ghi sau khi từ chối (tab Rejected)</t>
  </si>
  <si>
    <t>1. Vào Pricing &gt; FCL Pricing &gt; FCL Buying
2. Ghi lại số đếm của các tab trước khi thao tác và ghi lại Code của bản ghi
3. Mở tab Rejected, rê chuột vào nút 3 chấm của bản ghi, chọn Switch To Edit
4. Kiểm tra tab Rejected, tab Updating và Code của bản ghi</t>
  </si>
  <si>
    <t>Bản ghi hiển thị và đúng hành đông; số đếm; thao tác Edit (chỉ được 6 trường: Place of Receipt, Loading/Unloading, Return, Contract No, Status, Note)</t>
  </si>
  <si>
    <t>Bản ghi hiển thị và đúng hành đông; số đếm; thao tác Edit và Delete</t>
  </si>
  <si>
    <t>Luồng end-to-end</t>
  </si>
  <si>
    <t>Luồng trọn vẹn, số đếm các tab, refresh trang, bộ lọc</t>
  </si>
  <si>
    <t>BUG-006</t>
  </si>
  <si>
    <t>Cho phép lưu Price là số âm và số 0</t>
  </si>
  <si>
    <t>1. Vào Pricing &gt; FCL Pricing &gt; FCL Buying
2. Nhấn nút Add New Buying để mở form tạo mới
3. Chọn Supplier, Place From, Place To, Mode Of Transport, Weight Range, Container Type; nhập Price lần 1 (-1500000), lần 2 (0) (Service Type, Currency, VAT Rate giữ mặc định)
4. Nhấn Save
5. Quan sát thông báo lỗi và danh sách</t>
  </si>
  <si>
    <t>TC-FB-055 đến 066</t>
  </si>
  <si>
    <t>TC-FB-067 đến 072</t>
  </si>
  <si>
    <t>BUG-007</t>
  </si>
  <si>
    <t>Cho phép lưu Project Name và Note với dữ liệu toàn khoảng trắng</t>
  </si>
  <si>
    <t>TC-FB-008 đến 015</t>
  </si>
  <si>
    <t>TC-FB-016 đến 025</t>
  </si>
  <si>
    <t>TC-FB-026 đến 039</t>
  </si>
  <si>
    <t>TC-FB-040 đến 045</t>
  </si>
  <si>
    <t>TC-FB-046</t>
  </si>
  <si>
    <t>TC-FB-047 đến 054</t>
  </si>
  <si>
    <t>Chống trùng, sinh mã Code tự động, chống double-click nút Save</t>
  </si>
  <si>
    <t>Freight Percent sai định dạng bị chặn, đúng định dạng lưu được</t>
  </si>
  <si>
    <t>Edit ở tab Pending chỉ sửa được 6 trường và lưu đúng, hủy không lưu</t>
  </si>
  <si>
    <t>Đổi hoặc xóa Contract No xử lý đúng</t>
  </si>
  <si>
    <t>Biểu tượng thông tin (i)</t>
  </si>
  <si>
    <t>TC-FB-002</t>
  </si>
  <si>
    <t>TC-FB-003 đến 007</t>
  </si>
  <si>
    <t>TC-FB-013 đến 015</t>
  </si>
  <si>
    <t>TC-FB-016</t>
  </si>
  <si>
    <t>TC-FB-017 đến 024</t>
  </si>
  <si>
    <t>TC-FB-027, TC-FB-028</t>
  </si>
  <si>
    <t>TC-FB-029, TC-FB-030</t>
  </si>
  <si>
    <t>TC-FB-032 đến 035</t>
  </si>
  <si>
    <t>TC-FB-033, TC-FB-034, TC-FB-035</t>
  </si>
  <si>
    <t>TC-FB-031</t>
  </si>
  <si>
    <t xml:space="preserve">Price, VAT Rate: ký tự chữ, số âm, bằng 0, &gt;100 xử lý đúng. Nút tăng giảm xử lý đúng
</t>
  </si>
  <si>
    <t>TC-FB-026 đến 031</t>
  </si>
  <si>
    <t>TC-FB-027, TC-FB-028; TC-FB-029, TC-FB-030; TC-FB-031</t>
  </si>
  <si>
    <t>BUG-001; BUG-002; BUG-003</t>
  </si>
  <si>
    <t>BUG-005; BUG-006</t>
  </si>
  <si>
    <t>TC-FB-037</t>
  </si>
  <si>
    <t>TC-FB-037; TC-FB-039</t>
  </si>
  <si>
    <t>Dropdown tìm kiếm được</t>
  </si>
  <si>
    <t>Dropdown Supplier, Place From, Place To, Place of Receipt (Empty), Place of Loading/Unloading, Place of Return (Empty), Service Type, Customer, Mode Of Transport, Weight Range, Container Type, Contract No, Weekdays, Currency  hỗ trợ gõ để tìm kiếm</t>
  </si>
  <si>
    <t>1. Vào Pricing &gt; FCL Pricing &gt; FCL Buying
2. Nhấn nút Add New Buying để mở form tạo mới
3. Bấm vào dropdown Supplier, gõ 1 phần dữ liệu cần tìm kiếm. Áp dụng lần lượt cho các dropdown
4. Quan sát danh sách lọc
5. Chọn 1 kết quả</t>
  </si>
  <si>
    <t>Weekdays chọn nhiều ngày</t>
  </si>
  <si>
    <t>TC-FB-040</t>
  </si>
  <si>
    <t>TC-FB-041</t>
  </si>
  <si>
    <t>TC-FB-042</t>
  </si>
  <si>
    <t>TC-FB-043 đến 044</t>
  </si>
  <si>
    <t>Place of Receipt chỉ chọn 1 giá trị</t>
  </si>
  <si>
    <t>TC-FB-045</t>
  </si>
  <si>
    <t>TC-FB-047 đến 048</t>
  </si>
  <si>
    <t>TC-FB-049 đến 052</t>
  </si>
  <si>
    <t>TC-FB-053 đến 054</t>
  </si>
  <si>
    <t>Ghi chú tiếng Việt, quá dài; đóng popup; Send request click nhiều lần xử lý đúng</t>
  </si>
  <si>
    <t>Send request có Contract No xử lý đúng</t>
  </si>
  <si>
    <t>TC-FB-055 đến TC-FB-056</t>
  </si>
  <si>
    <t>TC-FB-057 đến 060</t>
  </si>
  <si>
    <t>TC-FB-062 đến 066</t>
  </si>
  <si>
    <t>TC-FB-068 đến 071</t>
  </si>
  <si>
    <t>TC-FB-072</t>
  </si>
  <si>
    <t>TC-FB-077 đến 079</t>
  </si>
  <si>
    <t>Đăng nhập role có quyền Add</t>
  </si>
  <si>
    <t>FCL Buying</t>
  </si>
  <si>
    <t>Đăng nhập role có quyền Add; có quyền xem màn hình Accounting &gt; Parameters</t>
  </si>
  <si>
    <t>Đăng nhập role có quyền Add; có quyền xem màn hình Catalogue &gt; Currency</t>
  </si>
  <si>
    <t>Add new Buying</t>
  </si>
  <si>
    <t>1. Vào Pricing &gt; FCL Pricing &gt; FCL Buying
2. Nhấn nút Add New Buying để mở form tạo mới
3. Chọn Supplier, Place From, Place To, Mode Of Transport, Weight Range, Container Type; nhập Price (Service Type, Currency, VAT Rate giữ mặc định); chọn Contract No (ghi lạiEffective On, Expiry On của hợp đồng đang chọn)
4. Nhấn Save
5. Kiểm tra bản ghi mới trong danh sách (tab Updating) và xem cột Effective On, Expiry On của bản ghi vừa tạo</t>
  </si>
  <si>
    <t>Effective On và Expiry On của bản ghi khớp đúng Effective On và Expiry On của hợp đồng đã chọn</t>
  </si>
  <si>
    <t>Đăng nhập role có quyền Update; Có ít nhất 1 bản ghi ở tab Updating đã chọn Contract No</t>
  </si>
  <si>
    <t>Đăng nhập role có quyền Update; có ít nhất 1 bản ghi ở tab Updating chỉ lưu các trường bắt buộc</t>
  </si>
  <si>
    <t>Đăng nhập role có quyền RequestApproval, Update, Delete; có ít nhất 1 bản ghi ở tab Updating đã chọn Contract No</t>
  </si>
  <si>
    <t>Đăng nhập role có quyền Update; có ít nhất 1 bản ghi ở tab Updating đã chọn Contract No</t>
  </si>
  <si>
    <t>Đăng nhập role có quyền Update; có ít nhất 1 bản ghi ở tab Updating đã chọn Contract No; có ít nhất 2 hợp đồng có ngày khác nhau</t>
  </si>
  <si>
    <t>Đăng nhập role có quyền Delete; có ít nhất 1 bản ghi ở tab Updating đã chọn Contract No</t>
  </si>
  <si>
    <t>Đăng nhập role có quyền RequestApproval; có ít nhất 1 bản ghi ở tab Updating đã chọn Contract No</t>
  </si>
  <si>
    <t>Đăng nhập role có quyền RequestApproval; có ít nhất 1 bản ghi ở tab Updating không chọn Contract No</t>
  </si>
  <si>
    <t>Đăng nhập role có quyền RequestApproval; có ít nhất 2 bản ghi ở tab Updating đã chọn Contract No</t>
  </si>
  <si>
    <t>Đăng nhập role có quyền RequestApproval; có 3 bản ghi ở tab Updating: 2 có Contract No, 1 không có</t>
  </si>
  <si>
    <t>Đăng nhập role có quyền RequestApproval; có ít nhất 1 bản ghi ở tab Updating đã chọn Contract No; tab Updating có nhiều bản ghi</t>
  </si>
  <si>
    <t>Đăng nhập role có quyền Update; có ít nhất 1 bản ghi ở tab Pending</t>
  </si>
  <si>
    <t>Đăng nhập role có quyền Update; có ít nhất 1 bản ghi ở tab Pending; có ít nhất 2 hợp đồng có ngày khác nhau</t>
  </si>
  <si>
    <t>Đăng nhập role có quyền RequestApproval; có ít nhất 1 bản ghi ở tab Pending</t>
  </si>
  <si>
    <t>Tab 1: Hiển thị thông báo thành công; bản ghi rời tab Pending, xuất hiện ở tab Accepted; số đếm 2 tab thay đổi đúng.
Tab 2: Hệ thống chặn lại, hiển thị thông báo lỗi, không cho phép từ chối đè lên và tự động làm mới lại dữ liệu hiển thị.</t>
  </si>
  <si>
    <t>Tab 1: Hiển thị thông báo thành công; bản ghi rời tab Pending, xuất hiện ở tab Accepted; số đếm 2 tab thay đổi đúng.
Tab 2: Hiển thị thông báo thành công; bản ghi rời tab Pending, xuất hiện ở tab Rejected; số đếm 2 tab thay đổi đúng</t>
  </si>
  <si>
    <t>1. Vào Pricing &gt; FCL Pricing &gt; FCL Buying
2. Mở cùng 1 bản ghi ở cả Tab 1 và Tab 2
3. Tại Tab 1 chọn Accept và xác nhận
4. Tại Tab 2 chọn Reject (kèm ghi chú) và xác nhận</t>
  </si>
  <si>
    <t>Cho phép thực hiện 2 hành động trái ngược nhau trên cùng 1 bản ghi khi mở 2 tab</t>
  </si>
  <si>
    <t>Đăng nhập bằng role không có quyền Add</t>
  </si>
  <si>
    <t>Đăng nhập role không có quyền RequestApproval; có bản ghi ở tab Updating</t>
  </si>
  <si>
    <t>Các trường Customer, Container Type, Project Name, Weight Range, Place Of Loading = Place From, Place Of Discharge = Place To, Weekdays, Place Of Receipt(empty), Place of Loading/Unloading, Place of Return(empty), Supplier, Min cost = Price, Currency được điền sẵn và giá trị khớp bản ghi giá mua</t>
  </si>
  <si>
    <t>Bản ghi có nhiều giá trị ở Weekdays, Place of Loading/Unloading, Place of Return(empty)</t>
  </si>
  <si>
    <t>Weekdays, Place of Loading/Unloading, Place of Return(empty) hiển thị đủ tất cả giá trị của bản ghi giá mua, không thiếu hoặc thừa giá trị</t>
  </si>
  <si>
    <t>1. Vào Pricing &gt; FCL Pricing &gt; FCL Buying
2. Mở tab Accepted, ghi lại toàn bộ giá trị của Weekdays, Place of Loading/Unloading, Place of Return(empty) của bản ghi
3. rê chuột vào nút 3 chấm của bản ghi, chọn Quickly create a Quotation
4. Đối chiếu 3 trường trên màn hình Create FCL Quotation</t>
  </si>
  <si>
    <t>1. Vào Pricing &gt; FCL Pricing &gt; FCL Buying
2. Mở tab Accepted, ghi lại Supplier, Place From, Place To, Place of Receipt (Empty), Place of Loading/Unloading, Place of Return (Empty), Customer, Weight Range, Container Type, Price, Currency, Project Name, Weekdays của bản ghi
3. Rê chuột vào nút 3 chấm của bản ghi, chọn Quickly create a Quotation
4. Đối chiếu các trường được điền sẵn trên màn hình Create FCL Quotation</t>
  </si>
  <si>
    <t>Bản ghi ở tab Accepted có đủ dữ liệu ở các trường</t>
  </si>
  <si>
    <t>Đăng nhập role có quyền RequestApproval; đăng nhập role có quyền RequestApproval; bản ghi chỉ nhập các trường bắt buộc</t>
  </si>
  <si>
    <t>Bản ghi ở tab Accepted chỉ nhập các trường bắt buộc</t>
  </si>
  <si>
    <t>BUG-008</t>
  </si>
  <si>
    <t>Dữ liệu điền sẵn (Supplier, Currency) khi chuyển màn hình Quotation &gt; Create FCL Quotation không khớp với giá mua FCL</t>
  </si>
  <si>
    <t>Tất cả các trường đều đúng dữ liệu trừ trường Supplier và Currency : N/A</t>
  </si>
  <si>
    <t>Đăng nhập role có quyền vào menu Pricing &gt; FCL Buying; quyền Add menu Quotation &gt; Create FCL Quotation; có ít nhất 1 bản ghi ở tab Accepted</t>
  </si>
  <si>
    <t>Đăng nhập role có quyền vào menu Pricing &gt; FCL Buying; quyền Add menu Quotation &gt; Create FCL Quotation; có ít nhất 1 bản ghi ở tab Accepted; bản ghi có đủ dữ liệu ở các trường</t>
  </si>
  <si>
    <t>Đăng nhập role có quyền vào menu Pricing &gt; FCL Buying; quyền Add menu Quotation &gt; Create FCL Quotation; có ít nhất 1 bản ghi ở tab Accepted; bản ghi có nhiều giá trị ở 3 trường Weekdays, Place of Loading/Unloading, Place of Return(empty)</t>
  </si>
  <si>
    <t>Đăng nhập role có quyền vào menu Pricing &gt; FCL Buying; quyền Add menu Quotation &gt; Create FCL Quotation; có ít nhất 1 bản ghi ở tab Accepted; bản ghi chỉ nhập các trường bắt buộc</t>
  </si>
  <si>
    <t>Bản ghi mới vào tab Peding hiển thị đúng thao tác</t>
  </si>
  <si>
    <t>Bản ghi mới vào tab Accepted hiển thị đúng thao tác</t>
  </si>
  <si>
    <t>Bản ghi mới vào tab Rejected hiển thị đúng thao tác</t>
  </si>
  <si>
    <t>Switch To Edit đưa bản ghi Rejected về Updating và Send request</t>
  </si>
  <si>
    <t>Bản ghi mới vào tab Revoked hiển thị đúng thao tác</t>
  </si>
  <si>
    <t>CONFORM: Độ dài tối đa của Project Name?</t>
  </si>
  <si>
    <t>CONFIRM: ghi chú hiển thị ở đâu?</t>
  </si>
  <si>
    <t>Có</t>
  </si>
  <si>
    <t>Số, có mũi tên tăng/giảm</t>
  </si>
  <si>
    <t>Add</t>
  </si>
  <si>
    <t>Edit</t>
  </si>
  <si>
    <t>RequestApproval</t>
  </si>
  <si>
    <t>Approve</t>
  </si>
  <si>
    <t>Add new, Copy</t>
  </si>
  <si>
    <t>Update</t>
  </si>
  <si>
    <t>Delete</t>
  </si>
  <si>
    <t>Accept, Reject, Revoke, Switch To Edit</t>
  </si>
  <si>
    <t xml:space="preserve">Có 3 cấp duyệt Pricing Manager &gt; Chief Accountant &gt; Head </t>
  </si>
  <si>
    <t>Add menu Quotation &gt; Create FCL Quotation</t>
  </si>
  <si>
    <t>Rejected (Từ chối)</t>
  </si>
  <si>
    <t>Sau khi Revoke</t>
  </si>
  <si>
    <t>Place of Loading/Unloading / Place of Return (Empty)</t>
  </si>
  <si>
    <t>Dropdown; chọn nhiều giá trị</t>
  </si>
  <si>
    <t>Công tắc</t>
  </si>
  <si>
    <t>Supplier / Weight Range / Container Type</t>
  </si>
  <si>
    <t>Include VAT / Dangerous Goods / Refrigerated Goods</t>
  </si>
  <si>
    <t>Bản ghi ở tab Accepted có thể Revoke (ghi chú bắt buộc); bản ghi chuyển sang tab Revoked</t>
  </si>
  <si>
    <t>VAT Rate mặc định là mã VATRate theo Effective On (ngày hiện tại) ở menu Accounting &gt; Parameters; không đổi theo Contract No</t>
  </si>
  <si>
    <t>Currency mặc định là loại tiền tick Default ởmenu Catalogue &gt; Currency</t>
  </si>
  <si>
    <t>Giá trị tick Default ở menu Catalogue &gt; Currency</t>
  </si>
  <si>
    <t>Mã VATRate theo Effective On (ngày hiện tại) ở menu Accounting &gt; Parameters</t>
  </si>
  <si>
    <t>Place of Receipt chỉ chọn 1 giá trị; Place of Loading/Unloading và Place of Return (Empty) chọn nhiều giá trị qua popup</t>
  </si>
  <si>
    <t>Copy mở popup thêm mới, sao chép tất cả trường trừ Project Name, Return Assoc Freight Percent, Canceled Freight Percent, Note, Status, Dangerous Goods, Refrigerated Goods</t>
  </si>
  <si>
    <t>Quickly create a Quotation chuyển sang menu Quotation &gt; Create FCL Quotation, điền sẵn dữ liệu  Create FCL Quotation tương ứng với FCL Buying: Customer, Container Type, Project Name, Weight Range, Place Of Loading = Place From, Place Of Discharge = Place To, Weekdays, Place Of Receipt(empty), Place of Loading/Unloading, Place of Return(empty), Supplier, Min cost = Price, Currency</t>
  </si>
  <si>
    <t>Bản ghi ở tab Pending có thể Accept (ghi chú không bắt buộc), bản ghi chuyển sang tab Accepted hoặc Reject (ghi chú bắt buộc), bản ghi chuyển sang tab Rejected</t>
  </si>
  <si>
    <t>Bản ghi ở tab Rejected có thể Switch To Edit chuyển bản ghi về tab Updating, dữ liệu giá mua FCL không thay đổi</t>
  </si>
  <si>
    <t>Send request bắt buộc có Contract No; ghi chú không bắt buộc; bản ghi chuyển sang tab Pending</t>
  </si>
  <si>
    <t>Edit ở tab Pending chỉ sửa được 6 trường: Place of Receipt, Place of Loading/Unloading, Place of Return (Empty), Contract No, Status, Note</t>
  </si>
  <si>
    <t>Service Type mặc định Transportation</t>
  </si>
  <si>
    <t>Mode Of Transport; Weekdays chọn nhiều giá trị</t>
  </si>
  <si>
    <t>Mode Of Transport / Weekdays</t>
  </si>
  <si>
    <t>Bulk action (Send request, Accept, Reject, Revoke, Switch To Edit): nút chỉ disable khi chưa chọn bản ghi nào; đã chọn thì luôn enable, validate khi click, theo cơ chế all-or-nothing nếu có bản ghi không đủ quyền/sai cấp trong danh sách chọn</t>
  </si>
  <si>
    <r>
      <t>Add new, Copy: chỉ role có quyền Add</t>
    </r>
    <r>
      <rPr>
        <sz val="11"/>
        <color theme="1"/>
        <rFont val="Calibri"/>
        <family val="2"/>
        <charset val="1"/>
      </rPr>
      <t xml:space="preserve"> được thao tác</t>
    </r>
  </si>
  <si>
    <t>Send request: chỉ role có quyền RequestApproval được thao tác</t>
  </si>
  <si>
    <t>Accept, Reject: role có quyền Approve theo đúng 1 cấp cụ thể (Pricing Manager / Chief Accountant / Head) chỉ xử lý được bản ghi đang chờ đúng cấp đó. Riêng role có quyền "All Position" thì không phân biệt bản ghi ở cấp nào, duyệt 1 lần cả 3 cấp</t>
  </si>
  <si>
    <t>Switch To Edit: chỉ role có quyền Approve được thao tác</t>
  </si>
  <si>
    <t>Quickly create a Quotation: chỉ role có quyền Add ở menu Quotation &gt; Create FCL Quotation được thao tác</t>
  </si>
  <si>
    <t>Edit: chỉ role có quyền Update được thao tác</t>
  </si>
  <si>
    <t>Delete: chỉ role có quyền Delete được thao tác</t>
  </si>
  <si>
    <t>Add new; Edit, Delete, Send request, Accept, Reject, Revoke, Copy, Quickly create a Quotation, Switch To Edit: không có quyền các nút vẫn hiển thị nhưng vô hiệu hóa</t>
  </si>
  <si>
    <t>Duyệt (Accept) và từ chối (Reject) đơn lẻ và hàng loạt</t>
  </si>
  <si>
    <t>Accept (ghi chú không bắt buộc) và Reject (ghi chú bắt buộc) đơn lẻ và hàng loạt, xử lý đồng thời</t>
  </si>
  <si>
    <t>Kiểm tra bản ghi hiển thị và đúng hành đông; thao tác Revoke (ghi chú bắt buộc) đơn lẻ và hàng loạt, Copy và Quickly create a Quotation</t>
  </si>
  <si>
    <t>Bản ghi hiển thị và đúng hành đông; thao tác Switch To Edit (Chuyển bản ghi Rejected về Updating, sửa và gửi duyệt lại) đơn lẻ và hàng loạt</t>
  </si>
  <si>
    <t>Send request đơn lẻ và hàng loạt bắt buộc có Contract No, ghi chú không bắt buộc</t>
  </si>
  <si>
    <t>Role đúng 1 cấp (Pricing Manager/Chief Accountant/Head) chỉ Accept/Reject được bản ghi đang chờ đúng cấp đó, không thao tác được bản ghi chờ cấp khác</t>
  </si>
  <si>
    <t>Gửi duyệt hàng loạt nhiều bản ghi cùng lúc; xử lý bản ghi thiếu Contract No</t>
  </si>
  <si>
    <t>Revoke hàng loạt, xử lý bản ghi thiếu ghi chú</t>
  </si>
  <si>
    <t>Switch To Edit hàng loạt</t>
  </si>
  <si>
    <t>Role "All Position" thì không phân biệt bản ghi ở cấp nào, duyệt 1 lần cả 3 cấp</t>
  </si>
  <si>
    <t>Quickly create a Quotation vô hiệu hóa nếu không có quyền Add ở menu Quotation &gt; Create FCL Quotation</t>
  </si>
  <si>
    <t>FCL Buying: Add new Buying, Edit, Delete, Send request, Accept, Reject, Revoke, Copy, Quickly create a Quotation, Switch To Edit</t>
  </si>
  <si>
    <t>Kiểm thử giao diện (UI): Add new Buying; Edit, Delete, Send request, Accept, Reject, Revoke, Copy, Quickly create a Quotation, Switch To Edit</t>
  </si>
  <si>
    <t>Mass Request Approval</t>
  </si>
  <si>
    <t>Đăng nhập role có quyền Approve, Update; có ít nhất 1 bản ghi ở tab Pending</t>
  </si>
  <si>
    <t>Đăng nhập role có quyền Approve; có ít nhất 1 bản ghi ở tab Pending</t>
  </si>
  <si>
    <t>Đăng nhập role có quyền Add; có ít nhất 1 bản ghi ở tab Accepted; bản ghi gốc có Project Name, Note, hai % cước, Status bật; Dangerous Goods và Refrigerated Goods được tick</t>
  </si>
  <si>
    <t>Đăng nhập role có quyền Add; có ít nhất 1 bản ghi ở tab Accepted</t>
  </si>
  <si>
    <t>Đăng nhập role có quyền Approve; có ít nhất 1 bản ghi ở tab Rejected</t>
  </si>
  <si>
    <t>Đăng nhập role có quyền Approve; có ít nhất 1 bản ghi ở tab Revoked</t>
  </si>
  <si>
    <t>Đăng nhập role có quyền Add, Update, Delete, RequestApproval, Approve</t>
  </si>
  <si>
    <t>Đăng nhập role có quyền menu; có ít nhất 1 bản ghi ở tab Updating đã chọn Contract No</t>
  </si>
  <si>
    <t>Đăng nhập role có quyền RequestApproval</t>
  </si>
  <si>
    <t>Mass Accept Buying Price</t>
  </si>
  <si>
    <t>Đăng nhập role có quyền Approve; có ít nhất 2 bản ghi ở tab Pending</t>
  </si>
  <si>
    <t>Ghi chú: 'Duyệt hàng loạt'</t>
  </si>
  <si>
    <t>1. Vào Pricing &gt; FCL Pricing &gt; FCL Buying
2. Ghi lại số đếm của các tab trước khi thao tác
3. Mở tab Pending, tick chọn các bản ghi cần duyệt
4. Nhấn nút Mass Accept Buying Price duyệt hàng loạt, nhập ghi chú và xác nhận
5. Kiểm tra tab Pending và tab Accepted</t>
  </si>
  <si>
    <t>Hiển thị thông báo thành công; cả 2 bản ghi rời tab Pending, xuất hiện ở tab Accepted; số đếm các tab thay đổi đúng; không ảnh hưởng bản ghi không được chọn</t>
  </si>
  <si>
    <t>Duyệt hàng loạt bằng ô chọn tất cả</t>
  </si>
  <si>
    <t>Tick ô chọn tất cả ở tiêu đề danh sách; ghi chú: 'Duyệt hàng loạt'</t>
  </si>
  <si>
    <t>Hiện thị nút Mass Accept Buying Price nhưng vô hiệu hóa</t>
  </si>
  <si>
    <t>Mass Reject Buyng Price</t>
  </si>
  <si>
    <t>Từ chối hàng loạt bằng ô chọn tất cả</t>
  </si>
  <si>
    <t>Từ chối hàng loạt khi chưa chọn bản ghi nào</t>
  </si>
  <si>
    <t>Hiện thị nút Mass Reject Buyng Price nhưng vô hiệu hóa</t>
  </si>
  <si>
    <t>1. Vào Pricing &gt; FCL Pricing &gt; FCL Buying
2. Ghi lại số đếm của các tab trước khi thao tác
3. Mở tab Pending, tick chọn các bản ghi cần duyệt
4. Nhấn nút Mass Reject Buyng Price từ chối hàng loạt, nhập ghi chú và xác nhận
5. Kiểm tra tab Pending và tab  Rejected</t>
  </si>
  <si>
    <t>Hiển thị thông báo thành công; cả 2 bản ghi rời tab Pending, xuất hiện ở tab  Rejected; số đếm các tab thay đổi đúng; không ảnh hưởng bản ghi không được chọn</t>
  </si>
  <si>
    <t>Ghi chú: 'Từ chối hàng loạt'</t>
  </si>
  <si>
    <t>Ghi chú:để trống</t>
  </si>
  <si>
    <t>1. Vào Pricing &gt; FCL Pricing &gt; FCL Buying
2. Ghi lại số đếm của các tab trước khi thao tác
3. Mở tab Pending, tick chọn các bản ghi cần duyệt
4. Nhấn nút Mass Reject Buyng Price từ chối hàng loạt, để trống ghi chú và xác nhận
5. Kiểm tra tab Pending và tab  Rejected</t>
  </si>
  <si>
    <t>Tick ô chọn tất cả ở tiêu đề danh sách; ghi chú: 'Từ chối hàng loạt'</t>
  </si>
  <si>
    <t>Menu 3 chấm ở tab Accepted chỉ có Revoke, Copy, Quickly create a Quotation</t>
  </si>
  <si>
    <t>Đăng nhập role có quyền Approve; có ít nhất 1 bản ghi ở tab Accepted</t>
  </si>
  <si>
    <t>Revoke bản ghi thành công kèm ghi chú</t>
  </si>
  <si>
    <t>Ghi chú: 'Giá mua hết hạn'</t>
  </si>
  <si>
    <t>Hiển thị thông báo thành công; bản ghi rời tab Accepted, xuất hiện ở tab Revoked; số đếm 2 tab thay đổi đúng</t>
  </si>
  <si>
    <t>Không Revoke được; báo lỗi ghi chú bắt buộc; bản ghi vẫn ở tab Accepted</t>
  </si>
  <si>
    <t>Mass Reverse Buying Price</t>
  </si>
  <si>
    <t>Hủy hàng loạt bằng ô chọn tất cả</t>
  </si>
  <si>
    <t>Hủy hàng loạt khi chưa chọn bản ghi nào</t>
  </si>
  <si>
    <t>Đăng nhập role có quyền Approve; có ít nhất 2 bản ghi ở tab Accepted</t>
  </si>
  <si>
    <t>Ghi chú: 'Hủy hàng loạt'</t>
  </si>
  <si>
    <t>Tick ô chọn tất cả ở tiêu đề danh sách; ghi chú: 'Hủy hàng loạt'</t>
  </si>
  <si>
    <t>Hiện thị nút Mass Reverse Buying Price nhưng vô hiệu hóa</t>
  </si>
  <si>
    <t>1. Vào Pricing &gt; FCL Pricing &gt; FCL Buying
2. Mở tab Accepted, không tick bản ghi nào
3. Tìm chức năng duyệt hàng loạt và thử thực hiện
4. Quan sát phản hồi</t>
  </si>
  <si>
    <t>1. Vào Pricing &gt; FCL Pricing &gt; FCL Buying
2. Ghi lại số đếm của các tab trước khi thao tác
3. Mở tab Accepted, tick ô chọn tất cả ở tiêu đề danh sách
4. Ghi lại số bản ghi được chọn
5. Nhấn nút Mass Reverse Buying Price hủy hàng loạt, nhập ghi chú và xác nhận
6. Kiểm tra tab Pending và tab  Rejected</t>
  </si>
  <si>
    <t>1. Vào Pricing &gt; FCL Pricing &gt; FCL Buying
2. Ghi lại số đếm của các tab trước khi thao tác
3. Mở tab Accepted, tick chọn các bản ghi cần duyệt
4. Nhấn nút Mass Reverse Buying Price hủy hàng loạt, để trống ghi chú và xác nhận
5. Kiểm tra tab Pending và tab  Rejected</t>
  </si>
  <si>
    <t>1. Vào Pricing &gt; FCL Pricing &gt; FCL Buying
2. Ghi lại số đếm của các tab trước khi thao tác
3. Mở tab Accepted, tick chọn các bản ghi cần duyệt
4. Nhấn nút Mass Reverse Buying Price hủy hàng loạt, nhập ghi chú và xác nhận
5. Kiểm tra tab Pending và tab  Rejected</t>
  </si>
  <si>
    <t>Hiển thị thông báo thành công; cả 2 bản ghi rời tab Accepted, xuất hiện ở tab  Revoked; số đếm các tab thay đổi đúng; không ảnh hưởng bản ghi không được chọn</t>
  </si>
  <si>
    <t>1. Vào Pricing &gt; FCL Pricing &gt; FCL Buying
2. Ghi lại số đếm của các tab trước khi thao tác
3. Mở tab Pending, tick ô chọn tất cả ở tiêu đề danh sách
4. Ghi lại số bản ghi được chọn
5. Nhấn nút Mass Reject Buyng Price từ chối hàng loạt, nhập ghi chú và xác nhận
6. Kiểm tra tab Pending và tab  Rejected</t>
  </si>
  <si>
    <t>1. Vào Pricing &gt; FCL Pricing &gt; FCL Buying
2. Mở tab Pending, không tick bản ghi nào
3. Tìm chức năng duyệt hàng loạt và thử thực hiện
4. Quan sát phản hồi</t>
  </si>
  <si>
    <t>1. Vào Pricing &gt; FCL Pricing &gt; FCL Buying
2. Ghi lại số đếm của các tab trước khi thao tác
3. Mở tab Pending, tick ô chọn tất cả ở tiêu đề danh sách
4. Ghi lại số bản ghi được chọn
5. Nhấn nút Mass Accept Buying Price duyệt hàng loạt, nhập ghi chú và xác nhận
6. Kiểm tra tab Pending và tab Accepted</t>
  </si>
  <si>
    <t>Switch To Edit Mode</t>
  </si>
  <si>
    <t>Đăng nhập role có quyền Approve; có ít nhất 2 bản ghi ở tab Rejected</t>
  </si>
  <si>
    <t>Ghi chú: 'Chuyển chế độ chỉnh sửa hàng loạt'</t>
  </si>
  <si>
    <t>Tick ô chọn tất cả ở tiêu đề danh sách; ghi chú: 'Chuyển chế độ chỉnh sửa hàng loạt'</t>
  </si>
  <si>
    <t>Chuyển chế độ chỉnh sửa hàng loạt bằng ô chọn</t>
  </si>
  <si>
    <t>Chuyển chế độ chỉnh sửa hàng loạt bằng ô chọn tất cả</t>
  </si>
  <si>
    <t>Chuyển chế độ chỉnh sửa hàng loạt khi chưa chọn bản ghi nào</t>
  </si>
  <si>
    <t>1. Vào Pricing &gt; FCL Pricing &gt; FCL Buying
2. Mở tab Rejected, không tick bản ghi nào
3. Tìm chức năng duyệt hàng loạt và thử thực hiện
4. Quan sát phản hồi</t>
  </si>
  <si>
    <t>Hiện thị nút Switch To Edit Mode nhưng vô hiệu hóa</t>
  </si>
  <si>
    <t>Hiển thị thông báo thành công; cả 2 bản ghi rời tab Rejected, xuất hiện ở tab Updating; số đếm các tab thay đổi đúng; không ảnh hưởng bản ghi không được chọn</t>
  </si>
  <si>
    <t>1. Vào Pricing &gt; FCL Pricing &gt; FCL Buying
2. Ghi lại số đếm của các tab trước khi thao tác
3. Mở tab Rejected, tick chọn các bản ghi cần duyệt
4. Nhấn nút Switch To Edit Mode chuyển đổi chế độ chỉnh sửa hàng loạt, nhập ghi chú và xác nhận
5. Kiểm tra tab Rejected và tab Updating</t>
  </si>
  <si>
    <t>1. Vào Pricing &gt; FCL Pricing &gt; FCL Buying
2. Ghi lại số đếm của các tab trước khi thao tác
3. Mở tab Rejected, tick ô chọn tất cả ở tiêu đề danh sách
4. Ghi lại số bản ghi được chọn
5. Nhấn nút Switch To Edit Mode chuyển đổi chế độ chỉnh sửa hàng loạt, nhập ghi chú và xác nhận
6. Kiểm tra tab Rejected và tab Updating</t>
  </si>
  <si>
    <t>Hủy hàng loạt bằng ô chọn kèm ghi chú</t>
  </si>
  <si>
    <t>Không hủy hàng loạt bằng ô chọn được khi không nhập ghi chú</t>
  </si>
  <si>
    <t>Từ chối hàng loạt bằng ô chọn kèm ghi chú</t>
  </si>
  <si>
    <t>Không từ chối hàng loạt bằng ô chọn được khi không nhập ghi chú</t>
  </si>
  <si>
    <t>Duyệt hàng loạt bằng ô chọn</t>
  </si>
  <si>
    <t>Gửi duyệt hàng loạt bằng ô chọn</t>
  </si>
  <si>
    <t>TC-FB-112</t>
  </si>
  <si>
    <t>Reject hàng loạt, xử lý bản ghi thiếu ghi chú khi Reject</t>
  </si>
  <si>
    <t>Accept hàng loạt</t>
  </si>
  <si>
    <t>TC-FB-080 đến 082</t>
  </si>
  <si>
    <t>TC-FB-0833 đến 086</t>
  </si>
  <si>
    <t>TC-FB-087</t>
  </si>
  <si>
    <t>TC-FB-088</t>
  </si>
  <si>
    <t>Đăng nhập role có quyền Approve; có 1 bản ghi ở tab Pending</t>
  </si>
  <si>
    <t>Mở 2 tab</t>
  </si>
  <si>
    <t>Thực hiện 2 hành động trái ngược nhau trên cùng 1 bản ghi khi mở 2 tab</t>
  </si>
  <si>
    <t>TC-FB-089 đến 091</t>
  </si>
  <si>
    <t>TC-FB-092 đến 095</t>
  </si>
  <si>
    <t>TC-FB-096 đến 097</t>
  </si>
  <si>
    <t>TC-FB-097 đến 099</t>
  </si>
  <si>
    <t>TC-FB-100 đến 102</t>
  </si>
  <si>
    <t>TC-FB-101</t>
  </si>
  <si>
    <t>TC-FB-103 đến 105</t>
  </si>
  <si>
    <t>TC-FB-106 đến 108</t>
  </si>
  <si>
    <t>TC-FB-109 đến 111</t>
  </si>
  <si>
    <t>Role không có quyền Approve không Switch To Edit được</t>
  </si>
  <si>
    <t>Đăng nhập role không có quyền Approve; có bản ghi ở tab Rejected</t>
  </si>
  <si>
    <t>Role đúng 1 cấp duyệt (VD Pricing Manager) chỉ Accept/Reject được bản ghi đúng cấp mình</t>
  </si>
  <si>
    <t>Role đúng 1 cấp không thao tác được bản ghi đang chờ cấp khác</t>
  </si>
  <si>
    <t>Bulk action bị chặn toàn bộ (all-or-nothing) khi trong danh sách chọn có bản ghi không đủ quyền hoặc sai cấp</t>
  </si>
  <si>
    <t>Role có đầy đủ quyền trên FCL Buying nhưng KHÔNG có quyền Add ở menu Quotation &gt; Create FCL Quotation; có bản ghi ở tab Accepted</t>
  </si>
  <si>
    <t>Role được gán đúng 1 cấp Pricing Manager; có bản ghi đang chờ duyệt cấp Pricing Manager</t>
  </si>
  <si>
    <t>Đăng nhập role Pricing Manager</t>
  </si>
  <si>
    <t>1. Vào tab Pending
2. Mở 3 chấm bản ghi đang chờ đúng cấp Pricing Manager
3. Thực hiện Accept</t>
  </si>
  <si>
    <t>Đăng nhập role Chief Accountant</t>
  </si>
  <si>
    <t>Role All Position Accept 1 lần → bản ghi chuyển thẳng sang Accepted, không phân biệt cấp</t>
  </si>
  <si>
    <t>Role được gán All Position; có bản ghi vừa Send request (đang chờ ở cấp đầu tiên)</t>
  </si>
  <si>
    <t>Đăng nhập role All Position</t>
  </si>
  <si>
    <t>1. Vào tab Pending
2. Mở 3 chấm bản ghi, thực hiện Accept 1 lần duy nhất</t>
  </si>
  <si>
    <t>Bản ghi chuyển thẳng sang tab Accepted ngay sau 1 lần Accept, không dừng lại ở trạng thái chờ cấp trung gian nào</t>
  </si>
  <si>
    <t>Role chỉ có quyền đúng 1 cấp; danh sách có bản ghi đúng cấp và bản ghi khác cấp</t>
  </si>
  <si>
    <t>Role không có quyền Add không được thêm mới</t>
  </si>
  <si>
    <t>Đăng nhập role không có quyền Add</t>
  </si>
  <si>
    <t>1. Vào Pricing &gt; FCL Pricing &gt; FCL Buying
2. Nhấn nút Add New Buying để mở form tạo mới
3. Nếu mở được form, thử lưu</t>
  </si>
  <si>
    <t>Role không có quyền Add không được Copy</t>
  </si>
  <si>
    <t>1. Vào Pricing &gt; FCL Pricing &gt; FCL Buying
2. Mở tab Accepted, rê chuột vào nút 3 chấm của bản ghi, chọn Copy
3. Nếu mở được form, thử lưu</t>
  </si>
  <si>
    <t xml:space="preserve">Send request </t>
  </si>
  <si>
    <t>Đăng nhập role không có quyền RequestApproval;</t>
  </si>
  <si>
    <t>Đăng nhập role không có quyền Approve; có bản ghi ở tab Pending</t>
  </si>
  <si>
    <t>Role không có quyền Approve không duyệt/từ chối được</t>
  </si>
  <si>
    <t>Đăng nhập role không có quyền Approve</t>
  </si>
  <si>
    <t>1. Vào Pricing &gt; FCL Pricing &gt; FCL Buying
2. Mở tab Updating, rê chuột vào nút 3 chấm của bản ghi
3. Tìm mục Send request</t>
  </si>
  <si>
    <t>1. Vào Pricing &gt; FCL Pricing &gt; FCL Buying
2. Mở tab Pending, rê chuột vào nút 3 chấm của bản ghi
3. Tìm mục Accept và Reject</t>
  </si>
  <si>
    <t>Send request hiển thị nhưng vô hiệu hóa; nếu vẫn nhấn được thì chặn không cho lưu</t>
  </si>
  <si>
    <t>Copy hiển thị nhưng vô hiệu hóa; nếu vẫn nhấn được thì chặn không cho lưu</t>
  </si>
  <si>
    <t>Add new Buying hiển thị nhưng vô hiệu hóa; nếu vẫn nhấn được thì chặn không cho lưu</t>
  </si>
  <si>
    <t>Accept và Reject hiển thị nhưng vô hiệu hóa; nếu vẫn nhấn được thì chặn không cho lưu</t>
  </si>
  <si>
    <t>Revoke hiển thị nhưng vô hiệu hóa; nếu vẫn nhấn được thì chặn không cho lưu</t>
  </si>
  <si>
    <t>Role không có quyền Approve không hủy được</t>
  </si>
  <si>
    <t>Đăng nhập role không có quyền Approve; có bản ghi ở tab Accepted</t>
  </si>
  <si>
    <t>1. Vào Pricing &gt; FCL Pricing &gt; FCL Buying
2. Mở tab Accepted, rê chuột vào nút 3 chấm của bản ghi
3. Tìm mục Revoke</t>
  </si>
  <si>
    <t>1. Vào Pricing &gt; FCL Pricing &gt; FCL Buying
2. Mở tab Rejected, rê chuột vào nút 3 chấm của bản ghi
3. Tìm mục Switch To Edit</t>
  </si>
  <si>
    <t>Switch To Edit hiển thị nhưng vô hiệu hóa; nếu vẫn nhấn được thì chặn không cho lưu</t>
  </si>
  <si>
    <t>Role không có quyền Add menu Quotation &gt; Create FCL Quotation không dùng được Quickly create a Quotation</t>
  </si>
  <si>
    <t xml:space="preserve">Role không có quyền Add menu Quotation &gt; Create FCL Quotation </t>
  </si>
  <si>
    <t>1. Vào Pricing &gt; FCL Pricing &gt; FCL Buying
2. Mở tab Accepted, rê chuột vào nút 3 chấm của bản ghi
3. Tìm mục Quickly create a Quotation</t>
  </si>
  <si>
    <t>Quickly create a Quotation hiển thị nhưng vô hiệu hóa; nếu vẫn nhấn được thì chặn không cho lưu</t>
  </si>
  <si>
    <t>Edit ở tab Updating và Edit ở tab Pending</t>
  </si>
  <si>
    <t>Role không có quyền Update không sửa được</t>
  </si>
  <si>
    <t>Đăng nhập role không có quyền Update; có bản ghi ở tab Updating ; có bản ghi ở tab Pending</t>
  </si>
  <si>
    <t>Đăng nhập role không có quyền Update</t>
  </si>
  <si>
    <t>1. Vào Pricing &gt; FCL Pricing &gt; FCL Buying
2Lần lượt mở tab Updating và tab Pending, rê chuột vào nút 3 chấm của bản ghi
3. Tìm mục Edit</t>
  </si>
  <si>
    <t>Edit hiển thị nhưng vô hiệu hóa; nếu vẫn nhấn được thì chặn không cho lưu</t>
  </si>
  <si>
    <t>Copy hiển thị vẫn nhấn được, popup copy hiển thị nhưng chặn không cho lưu</t>
  </si>
  <si>
    <t>Role không có quyền Delete không xóa được</t>
  </si>
  <si>
    <t>Đăng nhập role không có quyền Delete; có bản ghi ở tab Updating</t>
  </si>
  <si>
    <t>Đăng nhập role không có quyền Delete</t>
  </si>
  <si>
    <t>1. Vào Pricing &gt; FCL Pricing &gt; FCL Buying
2. Mở tab Updating, rê chuột vào nút 3 chấm của bản ghi
3. Tìm mục Delete</t>
  </si>
  <si>
    <t>Delete hiển thị nhưng vô hiệu hóa; nếu vẫn nhấn được thì chặn không cho lưu</t>
  </si>
  <si>
    <t>Accept/Reject thực hiện thành công, bản ghi chuyển đúng theo luồng duyệt</t>
  </si>
  <si>
    <t>Accept/Reject bị vô hiệu hóa với bản ghi không thuộc cấp mình; nếu vẫn nhấn được thì chặn không cho lưu</t>
  </si>
  <si>
    <t>Hệ thống chặn toàn bộ, không xử lý bản nào kể cả bản hợp lệ; chặn không cho lưu</t>
  </si>
  <si>
    <t>Role được gán đúng 1 cấp (VD Chief Accountant); có bản ghi đang chờ cấp khác (VD Pricing Manager)</t>
  </si>
  <si>
    <t>1. Vào tab Pending
2. Mở 3 chấm bản ghi đang chờ cấp Pricing Manager
3. Tìm mục Accept/Reject</t>
  </si>
  <si>
    <t>Đăng nhập role Chief Accountant; 1 bản ghi đang chờ duyệt ở cấp Chief Accountant; 1 bản ghi đang chờ duyệt ở cấp Pricing Manager</t>
  </si>
  <si>
    <t>1. Vào tab Pending
2. Tick 2 bản ghi cần duyệt
3. Nhấn Mass Accept Buying Price duyệt hàng loạt</t>
  </si>
  <si>
    <t>Đăng nhập role Chief Accountant; 1 bản ghi đang chờ duyệt ở cấp Chief Accountant; 1 bản ghi đang chờ duyệt ở cấp Pricing Manager; ghi chú: 'Cấp Chief Accountant - từ chối'</t>
  </si>
  <si>
    <t>Hiển thị thông báo thành công; 2 bản ghi rời tab Pending, xuất hiện ở tab Rejected; số đếm 2 tab thay đổi đúng; lưu đúng tên, ngày duyệt, trạng thái cấp duyệt đúng cấp; không lưu tên, ngày duyệt, tình trạng của cấp duyệt không đúng cấp</t>
  </si>
  <si>
    <t>Role chỉ có quyền đúng 1 cấp; danh sách có bản ghi khác cấp</t>
  </si>
  <si>
    <t>Đăng nhập role Pricing Manager; 1 bản ghi đang chờ duyệt ở cấp Chief Accountant;  ghi chú: 'Cấp Pricing Manager - từ chối'</t>
  </si>
  <si>
    <t>1. Vào tab Pending
2. Tick chọn bản ghi cần từ chối
3. Nhập ghi chú
3. Nhấn Mass Accept Buying Price từ chối hàng loạt</t>
  </si>
  <si>
    <t>1. Vào tab Pending
2. Tick 2 bản ghi cần từ chối
3. Nhập ghi chú
3. Nhấn Mass Accept Buying Price từ chối hàng loạt</t>
  </si>
  <si>
    <t>Hiển thị thông báo thất bại; nhưng load lại thì bản ghi rời tab Pending, xuất hiện ở tab Rejected; số đếm 2 tab thay đổi đúng; không lưu tên, ngày duyệt, tình trạng của cấp duyệt</t>
  </si>
  <si>
    <t>Delete hiển thị nhưng vẫn nhấn được, hiện tại đang xét chung quyền Update</t>
  </si>
  <si>
    <t>BUG-009</t>
  </si>
  <si>
    <t>Nút Copy không có quyền Copy nhưng vẫn nhấn và hiển thị popup Copy</t>
  </si>
  <si>
    <t>TC-FB-115</t>
  </si>
  <si>
    <t>BUG-010</t>
  </si>
  <si>
    <t>Nút Delete không có quyền Delete nhưng vẫn nhấn và xóa được</t>
  </si>
  <si>
    <t>TC-FB-120</t>
  </si>
  <si>
    <t>BUG-011</t>
  </si>
  <si>
    <t>Lần 1:
1. Đăng nhập role Chief Accountant
2. Vào tab Pending
3. Tick chọn 1 bản ghi đang chờ duyệt ở cấp Chief Accountant và 1 bản ghi đang chờ duyệt ở cấp Pricing Manager
4. Nhập ghi chú: 'Cấp Chief Accountant - từ chối'
5. Nhấn Mass Accept Buying Price từ chối hàng loạt
Lần 2:
1. Đăng nhập role Pricing Manager
2. Vào tab Pending
3. Tick chọn 1 bản ghi đang chờ duyệt ở cấp Chief Accountant
4. Nhập ghi chú: 'Cấp Pricing Manager - từ chối'
5. Nhấn Mass Accept Buying Price từ chối hàng loạt</t>
  </si>
  <si>
    <t>Lần 1: Hiển thị thông báo thành công; 2 bản ghi rời tab Pending, xuất hiện ở tab Rejected; số đếm 2 tab thay đổi đúng; lưu đúng tên, ngày duyệt, trạng thái cấp duyệt đúng cấp; không lưu tên, ngày duyệt, tình trạng của cấp duyệt không đúng cấp
Lần 2: Hiển thị thông báo lỗi 'System error'; nhưng load lại thì bản ghi rời tab Pending, xuất hiện ở tab Rejected; số đếm 2 tab thay đổi đúng; không lưu tên, ngày duyệt, tình trạng của cấp duyệt</t>
  </si>
  <si>
    <t>TC-FB-127; TC-FB-128</t>
  </si>
  <si>
    <t>Hiển thị các thao tác theo phân quyền</t>
  </si>
  <si>
    <t>Add new; Edit, Delete, Send request, Accept, Reject, Revoke, Copy, Quickly create a Quotation, Switch To Edit: không có quyền các nút vẫn hiển thị nhưng vô hiệu hóa. Quickly create a Quotation vô hiệu hóa nếu không có quyền Add ở menu Quotation &gt; Create FCL Quotation</t>
  </si>
  <si>
    <t>Bulk action theo đúng cấp phân quyền</t>
  </si>
  <si>
    <t>Accept, Reject theo đúng cấp phân quyền</t>
  </si>
  <si>
    <t>SC-16</t>
  </si>
  <si>
    <t>SC-17</t>
  </si>
  <si>
    <t>TC-FB-114 đến 122</t>
  </si>
  <si>
    <t>TC-FB-113</t>
  </si>
  <si>
    <t>TC-FB-106 đến 112</t>
  </si>
  <si>
    <t>TC-FB-088 đến 105</t>
  </si>
  <si>
    <t>TC-FB-073 đến 087</t>
  </si>
  <si>
    <t>TC-FB-129 đến 133</t>
  </si>
  <si>
    <t>TC-FB-126 đến 128</t>
  </si>
  <si>
    <t>TC-FB-123 đến 125</t>
  </si>
  <si>
    <t>TC-FB-114 đến 121</t>
  </si>
  <si>
    <t>TC-FB-122</t>
  </si>
  <si>
    <t>TC-FB-123 đến 124</t>
  </si>
  <si>
    <t>TC-FB-125</t>
  </si>
  <si>
    <t>TC-FB-129 đến 131</t>
  </si>
  <si>
    <t>TC-FB-132 đến 133</t>
  </si>
  <si>
    <t>BUG-009; BUG-010</t>
  </si>
  <si>
    <t>TC-FB-115; TC-FB-120</t>
  </si>
  <si>
    <t>Test case Fail chưa có Bug ID</t>
  </si>
  <si>
    <t>Open</t>
  </si>
  <si>
    <t>Mỗi test case gắn 1 scenario chính (cột Scenario ở sheet Test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</si>
</sst>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4"/>
      <color rgb="FF1F3864"/>
      <name val="Arial"/>
      <charset val="1"/>
    </font>
    <font>
      <i/>
      <sz val="9"/>
      <color rgb="FF595959"/>
      <name val="Arial"/>
      <charset val="1"/>
    </font>
    <font>
      <b/>
      <sz val="10"/>
      <name val="Arial"/>
      <charset val="1"/>
    </font>
    <font>
      <sz val="10"/>
      <name val="Arial"/>
      <charset val="1"/>
    </font>
    <font>
      <b/>
      <sz val="10"/>
      <color rgb="FFFFFFFF"/>
      <name val="Arial"/>
      <charset val="1"/>
    </font>
    <font>
      <sz val="10"/>
      <name val="Arial"/>
      <family val="2"/>
    </font>
    <font>
      <sz val="10"/>
      <name val="Arial"/>
      <family val="2"/>
      <charset val="1"/>
    </font>
    <font>
      <b/>
      <sz val="10"/>
      <color rgb="FFFFFFFF"/>
      <name val="Arial"/>
      <family val="2"/>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35">
    <xf numFmtId="0" fontId="0" fillId="0" borderId="0" xfId="0"/>
    <xf numFmtId="0" fontId="4" fillId="0" borderId="0" xfId="0" applyFont="1" applyAlignment="1">
      <alignment vertical="top" wrapText="1"/>
    </xf>
    <xf numFmtId="0" fontId="4" fillId="0" borderId="1" xfId="0" applyFont="1" applyBorder="1" applyAlignment="1">
      <alignment vertical="top" wrapText="1"/>
    </xf>
    <xf numFmtId="0" fontId="1" fillId="0" borderId="0" xfId="0" applyFont="1"/>
    <xf numFmtId="0" fontId="2" fillId="0" borderId="0" xfId="0" applyFont="1"/>
    <xf numFmtId="0" fontId="3" fillId="0" borderId="0" xfId="0" applyFont="1"/>
    <xf numFmtId="0" fontId="4" fillId="0" borderId="1" xfId="0" applyFont="1" applyBorder="1"/>
    <xf numFmtId="0" fontId="3" fillId="0" borderId="1" xfId="0" applyFont="1" applyBorder="1" applyAlignment="1">
      <alignment horizontal="center"/>
    </xf>
    <xf numFmtId="0" fontId="4" fillId="0" borderId="1" xfId="0" applyFont="1" applyBorder="1" applyAlignment="1">
      <alignment horizontal="center" vertical="top"/>
    </xf>
    <xf numFmtId="0" fontId="3" fillId="0" borderId="1" xfId="0" applyFont="1" applyBorder="1"/>
    <xf numFmtId="0" fontId="0" fillId="0" borderId="1" xfId="0" applyBorder="1"/>
    <xf numFmtId="0" fontId="3" fillId="0" borderId="1" xfId="0" applyFont="1" applyBorder="1" applyAlignment="1">
      <alignment horizontal="center" vertical="top"/>
    </xf>
    <xf numFmtId="0" fontId="5" fillId="2" borderId="1" xfId="0" applyFont="1" applyFill="1" applyBorder="1" applyAlignment="1">
      <alignment horizontal="center" vertical="center" wrapText="1"/>
    </xf>
    <xf numFmtId="0" fontId="6" fillId="0" borderId="1" xfId="0" applyFont="1" applyBorder="1" applyAlignment="1">
      <alignment vertical="top" wrapText="1"/>
    </xf>
    <xf numFmtId="0" fontId="4" fillId="3" borderId="1" xfId="0" applyFont="1" applyFill="1" applyBorder="1" applyAlignment="1">
      <alignment vertical="top" wrapText="1"/>
    </xf>
    <xf numFmtId="0" fontId="6" fillId="3" borderId="1" xfId="0" applyFont="1" applyFill="1" applyBorder="1" applyAlignment="1">
      <alignment vertical="top" wrapText="1"/>
    </xf>
    <xf numFmtId="0" fontId="0" fillId="3" borderId="0" xfId="0" applyFill="1"/>
    <xf numFmtId="0" fontId="6" fillId="0" borderId="0" xfId="0" applyFont="1" applyAlignment="1">
      <alignment vertical="top" wrapText="1"/>
    </xf>
    <xf numFmtId="0" fontId="7" fillId="0" borderId="1" xfId="0" applyFont="1" applyBorder="1" applyAlignment="1">
      <alignment horizontal="center" vertical="top"/>
    </xf>
    <xf numFmtId="0" fontId="8" fillId="2" borderId="1" xfId="0" applyFont="1" applyFill="1" applyBorder="1" applyAlignment="1">
      <alignment horizontal="center" vertical="center" wrapText="1"/>
    </xf>
    <xf numFmtId="0" fontId="4" fillId="0" borderId="1" xfId="0" applyFont="1" applyBorder="1" applyAlignment="1">
      <alignment vertical="top"/>
    </xf>
    <xf numFmtId="9" fontId="3" fillId="0" borderId="1" xfId="0" applyNumberFormat="1" applyFont="1" applyBorder="1" applyAlignment="1">
      <alignment horizontal="center"/>
    </xf>
    <xf numFmtId="0" fontId="6"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horizontal="left" vertical="top"/>
    </xf>
    <xf numFmtId="0" fontId="4" fillId="0" borderId="4" xfId="0" applyFont="1" applyBorder="1" applyAlignment="1">
      <alignment horizontal="left" vertical="top"/>
    </xf>
    <xf numFmtId="0" fontId="4" fillId="0" borderId="3" xfId="0" applyFont="1" applyBorder="1" applyAlignment="1">
      <alignment horizontal="left" vertical="top"/>
    </xf>
    <xf numFmtId="0" fontId="3" fillId="0" borderId="0" xfId="0" applyFont="1" applyAlignment="1">
      <alignment horizontal="left"/>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4" fillId="0" borderId="0" xfId="0" applyFont="1" applyAlignment="1">
      <alignment vertical="top"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cellXfs>
  <cellStyles count="1">
    <cellStyle name="Normal" xfId="0" builtinId="0"/>
  </cellStyles>
  <dxfs count="88">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878787"/>
      <rgbColor rgb="FF9999FF"/>
      <rgbColor rgb="FF993366"/>
      <rgbColor rgb="FFFFF2CC"/>
      <rgbColor rgb="FFEDEDE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C6EFCE"/>
      <rgbColor rgb="FFFFEB9C"/>
      <rgbColor rgb="FF99CCFF"/>
      <rgbColor rgb="FFFF99CC"/>
      <rgbColor rgb="FFCC99FF"/>
      <rgbColor rgb="FFFFC7CE"/>
      <rgbColor rgb="FF3366FF"/>
      <rgbColor rgb="FF33CCCC"/>
      <rgbColor rgb="FF99CC00"/>
      <rgbColor rgb="FFFFC000"/>
      <rgbColor rgb="FFFF9900"/>
      <rgbColor rgb="FFFF6600"/>
      <rgbColor rgb="FF595959"/>
      <rgbColor rgb="FFA6A6A6"/>
      <rgbColor rgb="FF1F3864"/>
      <rgbColor rgb="FF70AD47"/>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Kết quả test case theo scenario</a:t>
            </a:r>
          </a:p>
        </c:rich>
      </c:tx>
      <c:overlay val="0"/>
      <c:spPr>
        <a:noFill/>
        <a:ln w="0">
          <a:noFill/>
        </a:ln>
      </c:spPr>
    </c:title>
    <c:autoTitleDeleted val="0"/>
    <c:plotArea>
      <c:layout/>
      <c:barChart>
        <c:barDir val="col"/>
        <c:grouping val="stacked"/>
        <c:varyColors val="0"/>
        <c:ser>
          <c:idx val="0"/>
          <c:order val="0"/>
          <c:tx>
            <c:strRef>
              <c:f>Scenario!$G$3</c:f>
              <c:strCache>
                <c:ptCount val="1"/>
                <c:pt idx="0">
                  <c:v>Pass</c:v>
                </c:pt>
              </c:strCache>
            </c:strRef>
          </c:tx>
          <c:spPr>
            <a:solidFill>
              <a:srgbClr val="70AD4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Scenario!$A$4:$A$20</c:f>
              <c:strCache>
                <c:ptCount val="17"/>
                <c:pt idx="0">
                  <c:v>SC-01</c:v>
                </c:pt>
                <c:pt idx="1">
                  <c:v>SC-02</c:v>
                </c:pt>
                <c:pt idx="2">
                  <c:v>SC-03</c:v>
                </c:pt>
                <c:pt idx="3">
                  <c:v>SC-04</c:v>
                </c:pt>
                <c:pt idx="4">
                  <c:v>SC-05</c:v>
                </c:pt>
                <c:pt idx="5">
                  <c:v>SC-06</c:v>
                </c:pt>
                <c:pt idx="6">
                  <c:v>SC-07</c:v>
                </c:pt>
                <c:pt idx="7">
                  <c:v>SC-08</c:v>
                </c:pt>
                <c:pt idx="8">
                  <c:v>SC-09</c:v>
                </c:pt>
                <c:pt idx="9">
                  <c:v>SC-10</c:v>
                </c:pt>
                <c:pt idx="10">
                  <c:v>SC-11</c:v>
                </c:pt>
                <c:pt idx="11">
                  <c:v>SC-12</c:v>
                </c:pt>
                <c:pt idx="12">
                  <c:v>SC-13</c:v>
                </c:pt>
                <c:pt idx="13">
                  <c:v>SC-14</c:v>
                </c:pt>
                <c:pt idx="14">
                  <c:v>SC-15</c:v>
                </c:pt>
                <c:pt idx="15">
                  <c:v>SC-16</c:v>
                </c:pt>
                <c:pt idx="16">
                  <c:v>SC-17</c:v>
                </c:pt>
              </c:strCache>
            </c:strRef>
          </c:cat>
          <c:val>
            <c:numRef>
              <c:f>Scenario!$G$4:$G$20</c:f>
              <c:numCache>
                <c:formatCode>General</c:formatCode>
                <c:ptCount val="17"/>
                <c:pt idx="0">
                  <c:v>7</c:v>
                </c:pt>
                <c:pt idx="1">
                  <c:v>8</c:v>
                </c:pt>
                <c:pt idx="2">
                  <c:v>10</c:v>
                </c:pt>
                <c:pt idx="3">
                  <c:v>4</c:v>
                </c:pt>
                <c:pt idx="4">
                  <c:v>6</c:v>
                </c:pt>
                <c:pt idx="5">
                  <c:v>1</c:v>
                </c:pt>
                <c:pt idx="6">
                  <c:v>8</c:v>
                </c:pt>
                <c:pt idx="7">
                  <c:v>12</c:v>
                </c:pt>
                <c:pt idx="8">
                  <c:v>6</c:v>
                </c:pt>
                <c:pt idx="9">
                  <c:v>14</c:v>
                </c:pt>
                <c:pt idx="10">
                  <c:v>17</c:v>
                </c:pt>
                <c:pt idx="11">
                  <c:v>7</c:v>
                </c:pt>
                <c:pt idx="12">
                  <c:v>1</c:v>
                </c:pt>
                <c:pt idx="13">
                  <c:v>7</c:v>
                </c:pt>
                <c:pt idx="14">
                  <c:v>3</c:v>
                </c:pt>
                <c:pt idx="15">
                  <c:v>1</c:v>
                </c:pt>
                <c:pt idx="16">
                  <c:v>5</c:v>
                </c:pt>
              </c:numCache>
            </c:numRef>
          </c:val>
          <c:extLst>
            <c:ext xmlns:c16="http://schemas.microsoft.com/office/drawing/2014/chart" uri="{C3380CC4-5D6E-409C-BE32-E72D297353CC}">
              <c16:uniqueId val="{00000000-AB85-47B8-A413-6B6F05F75A0D}"/>
            </c:ext>
          </c:extLst>
        </c:ser>
        <c:ser>
          <c:idx val="1"/>
          <c:order val="1"/>
          <c:tx>
            <c:strRef>
              <c:f>Scenario!$H$3</c:f>
              <c:strCache>
                <c:ptCount val="1"/>
                <c:pt idx="0">
                  <c:v>Fail</c:v>
                </c:pt>
              </c:strCache>
            </c:strRef>
          </c:tx>
          <c:spPr>
            <a:solidFill>
              <a:srgbClr val="C0000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Scenario!$A$4:$A$20</c:f>
              <c:strCache>
                <c:ptCount val="17"/>
                <c:pt idx="0">
                  <c:v>SC-01</c:v>
                </c:pt>
                <c:pt idx="1">
                  <c:v>SC-02</c:v>
                </c:pt>
                <c:pt idx="2">
                  <c:v>SC-03</c:v>
                </c:pt>
                <c:pt idx="3">
                  <c:v>SC-04</c:v>
                </c:pt>
                <c:pt idx="4">
                  <c:v>SC-05</c:v>
                </c:pt>
                <c:pt idx="5">
                  <c:v>SC-06</c:v>
                </c:pt>
                <c:pt idx="6">
                  <c:v>SC-07</c:v>
                </c:pt>
                <c:pt idx="7">
                  <c:v>SC-08</c:v>
                </c:pt>
                <c:pt idx="8">
                  <c:v>SC-09</c:v>
                </c:pt>
                <c:pt idx="9">
                  <c:v>SC-10</c:v>
                </c:pt>
                <c:pt idx="10">
                  <c:v>SC-11</c:v>
                </c:pt>
                <c:pt idx="11">
                  <c:v>SC-12</c:v>
                </c:pt>
                <c:pt idx="12">
                  <c:v>SC-13</c:v>
                </c:pt>
                <c:pt idx="13">
                  <c:v>SC-14</c:v>
                </c:pt>
                <c:pt idx="14">
                  <c:v>SC-15</c:v>
                </c:pt>
                <c:pt idx="15">
                  <c:v>SC-16</c:v>
                </c:pt>
                <c:pt idx="16">
                  <c:v>SC-17</c:v>
                </c:pt>
              </c:strCache>
            </c:strRef>
          </c:cat>
          <c:val>
            <c:numRef>
              <c:f>Scenario!$H$4:$H$20</c:f>
              <c:numCache>
                <c:formatCode>General</c:formatCode>
                <c:ptCount val="17"/>
                <c:pt idx="0">
                  <c:v>0</c:v>
                </c:pt>
                <c:pt idx="1">
                  <c:v>0</c:v>
                </c:pt>
                <c:pt idx="2">
                  <c:v>0</c:v>
                </c:pt>
                <c:pt idx="3">
                  <c:v>10</c:v>
                </c:pt>
                <c:pt idx="4">
                  <c:v>0</c:v>
                </c:pt>
                <c:pt idx="5">
                  <c:v>0</c:v>
                </c:pt>
                <c:pt idx="6">
                  <c:v>0</c:v>
                </c:pt>
                <c:pt idx="7">
                  <c:v>0</c:v>
                </c:pt>
                <c:pt idx="8">
                  <c:v>0</c:v>
                </c:pt>
                <c:pt idx="9">
                  <c:v>1</c:v>
                </c:pt>
                <c:pt idx="10">
                  <c:v>1</c:v>
                </c:pt>
                <c:pt idx="11">
                  <c:v>0</c:v>
                </c:pt>
                <c:pt idx="12">
                  <c:v>0</c:v>
                </c:pt>
                <c:pt idx="13">
                  <c:v>2</c:v>
                </c:pt>
                <c:pt idx="14">
                  <c:v>0</c:v>
                </c:pt>
                <c:pt idx="15">
                  <c:v>2</c:v>
                </c:pt>
                <c:pt idx="16">
                  <c:v>0</c:v>
                </c:pt>
              </c:numCache>
            </c:numRef>
          </c:val>
          <c:extLst>
            <c:ext xmlns:c16="http://schemas.microsoft.com/office/drawing/2014/chart" uri="{C3380CC4-5D6E-409C-BE32-E72D297353CC}">
              <c16:uniqueId val="{00000001-AB85-47B8-A413-6B6F05F75A0D}"/>
            </c:ext>
          </c:extLst>
        </c:ser>
        <c:ser>
          <c:idx val="2"/>
          <c:order val="2"/>
          <c:tx>
            <c:strRef>
              <c:f>Scenario!$I$3</c:f>
              <c:strCache>
                <c:ptCount val="1"/>
                <c:pt idx="0">
                  <c:v>Blocked</c:v>
                </c:pt>
              </c:strCache>
            </c:strRef>
          </c:tx>
          <c:spPr>
            <a:solidFill>
              <a:srgbClr val="FFC00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Scenario!$A$4:$A$20</c:f>
              <c:strCache>
                <c:ptCount val="17"/>
                <c:pt idx="0">
                  <c:v>SC-01</c:v>
                </c:pt>
                <c:pt idx="1">
                  <c:v>SC-02</c:v>
                </c:pt>
                <c:pt idx="2">
                  <c:v>SC-03</c:v>
                </c:pt>
                <c:pt idx="3">
                  <c:v>SC-04</c:v>
                </c:pt>
                <c:pt idx="4">
                  <c:v>SC-05</c:v>
                </c:pt>
                <c:pt idx="5">
                  <c:v>SC-06</c:v>
                </c:pt>
                <c:pt idx="6">
                  <c:v>SC-07</c:v>
                </c:pt>
                <c:pt idx="7">
                  <c:v>SC-08</c:v>
                </c:pt>
                <c:pt idx="8">
                  <c:v>SC-09</c:v>
                </c:pt>
                <c:pt idx="9">
                  <c:v>SC-10</c:v>
                </c:pt>
                <c:pt idx="10">
                  <c:v>SC-11</c:v>
                </c:pt>
                <c:pt idx="11">
                  <c:v>SC-12</c:v>
                </c:pt>
                <c:pt idx="12">
                  <c:v>SC-13</c:v>
                </c:pt>
                <c:pt idx="13">
                  <c:v>SC-14</c:v>
                </c:pt>
                <c:pt idx="14">
                  <c:v>SC-15</c:v>
                </c:pt>
                <c:pt idx="15">
                  <c:v>SC-16</c:v>
                </c:pt>
                <c:pt idx="16">
                  <c:v>SC-17</c:v>
                </c:pt>
              </c:strCache>
            </c:strRef>
          </c:cat>
          <c:val>
            <c:numRef>
              <c:f>Scenario!$I$4:$I$20</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2-AB85-47B8-A413-6B6F05F75A0D}"/>
            </c:ext>
          </c:extLst>
        </c:ser>
        <c:ser>
          <c:idx val="3"/>
          <c:order val="3"/>
          <c:tx>
            <c:strRef>
              <c:f>Scenario!$J$3</c:f>
              <c:strCache>
                <c:ptCount val="1"/>
                <c:pt idx="0">
                  <c:v>Not Run</c:v>
                </c:pt>
              </c:strCache>
            </c:strRef>
          </c:tx>
          <c:spPr>
            <a:solidFill>
              <a:srgbClr val="A6A6A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Scenario!$A$4:$A$20</c:f>
              <c:strCache>
                <c:ptCount val="17"/>
                <c:pt idx="0">
                  <c:v>SC-01</c:v>
                </c:pt>
                <c:pt idx="1">
                  <c:v>SC-02</c:v>
                </c:pt>
                <c:pt idx="2">
                  <c:v>SC-03</c:v>
                </c:pt>
                <c:pt idx="3">
                  <c:v>SC-04</c:v>
                </c:pt>
                <c:pt idx="4">
                  <c:v>SC-05</c:v>
                </c:pt>
                <c:pt idx="5">
                  <c:v>SC-06</c:v>
                </c:pt>
                <c:pt idx="6">
                  <c:v>SC-07</c:v>
                </c:pt>
                <c:pt idx="7">
                  <c:v>SC-08</c:v>
                </c:pt>
                <c:pt idx="8">
                  <c:v>SC-09</c:v>
                </c:pt>
                <c:pt idx="9">
                  <c:v>SC-10</c:v>
                </c:pt>
                <c:pt idx="10">
                  <c:v>SC-11</c:v>
                </c:pt>
                <c:pt idx="11">
                  <c:v>SC-12</c:v>
                </c:pt>
                <c:pt idx="12">
                  <c:v>SC-13</c:v>
                </c:pt>
                <c:pt idx="13">
                  <c:v>SC-14</c:v>
                </c:pt>
                <c:pt idx="14">
                  <c:v>SC-15</c:v>
                </c:pt>
                <c:pt idx="15">
                  <c:v>SC-16</c:v>
                </c:pt>
                <c:pt idx="16">
                  <c:v>SC-17</c:v>
                </c:pt>
              </c:strCache>
            </c:strRef>
          </c:cat>
          <c:val>
            <c:numRef>
              <c:f>Scenario!$J$4:$J$20</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3-AB85-47B8-A413-6B6F05F75A0D}"/>
            </c:ext>
          </c:extLst>
        </c:ser>
        <c:dLbls>
          <c:showLegendKey val="0"/>
          <c:showVal val="0"/>
          <c:showCatName val="0"/>
          <c:showSerName val="0"/>
          <c:showPercent val="0"/>
          <c:showBubbleSize val="0"/>
        </c:dLbls>
        <c:gapWidth val="150"/>
        <c:overlap val="100"/>
        <c:axId val="92097039"/>
        <c:axId val="10241494"/>
      </c:barChart>
      <c:catAx>
        <c:axId val="9209703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241494"/>
        <c:crosses val="autoZero"/>
        <c:auto val="1"/>
        <c:lblAlgn val="ctr"/>
        <c:lblOffset val="100"/>
        <c:noMultiLvlLbl val="0"/>
      </c:catAx>
      <c:valAx>
        <c:axId val="1024149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Số test case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209703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0</xdr:rowOff>
    </xdr:from>
    <xdr:to>
      <xdr:col>22</xdr:col>
      <xdr:colOff>735</xdr:colOff>
      <xdr:row>18</xdr:row>
      <xdr:rowOff>1080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0</xdr:colOff>
      <xdr:row>2</xdr:row>
      <xdr:rowOff>380999</xdr:rowOff>
    </xdr:from>
    <xdr:to>
      <xdr:col>15</xdr:col>
      <xdr:colOff>3035712</xdr:colOff>
      <xdr:row>3</xdr:row>
      <xdr:rowOff>523874</xdr:rowOff>
    </xdr:to>
    <xdr:pic>
      <xdr:nvPicPr>
        <xdr:cNvPr id="3" name="Picture 2">
          <a:extLst>
            <a:ext uri="{FF2B5EF4-FFF2-40B4-BE49-F238E27FC236}">
              <a16:creationId xmlns:a16="http://schemas.microsoft.com/office/drawing/2014/main" id="{862019A0-F021-4A0B-B4BB-D6814507A5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88050" y="800099"/>
          <a:ext cx="3035712" cy="523875"/>
        </a:xfrm>
        <a:prstGeom prst="rect">
          <a:avLst/>
        </a:prstGeom>
      </xdr:spPr>
    </xdr:pic>
    <xdr:clientData/>
  </xdr:twoCellAnchor>
  <xdr:twoCellAnchor>
    <xdr:from>
      <xdr:col>15</xdr:col>
      <xdr:colOff>0</xdr:colOff>
      <xdr:row>4</xdr:row>
      <xdr:rowOff>1</xdr:rowOff>
    </xdr:from>
    <xdr:to>
      <xdr:col>15</xdr:col>
      <xdr:colOff>1933575</xdr:colOff>
      <xdr:row>4</xdr:row>
      <xdr:rowOff>933451</xdr:rowOff>
    </xdr:to>
    <xdr:pic>
      <xdr:nvPicPr>
        <xdr:cNvPr id="5" name="Picture 4">
          <a:extLst>
            <a:ext uri="{FF2B5EF4-FFF2-40B4-BE49-F238E27FC236}">
              <a16:creationId xmlns:a16="http://schemas.microsoft.com/office/drawing/2014/main" id="{D0D63BF7-1637-4426-B8BC-16A3BCFB6CE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688050" y="1819276"/>
          <a:ext cx="1933575" cy="933450"/>
        </a:xfrm>
        <a:prstGeom prst="rect">
          <a:avLst/>
        </a:prstGeom>
      </xdr:spPr>
    </xdr:pic>
    <xdr:clientData/>
  </xdr:twoCellAnchor>
  <xdr:twoCellAnchor>
    <xdr:from>
      <xdr:col>15</xdr:col>
      <xdr:colOff>1</xdr:colOff>
      <xdr:row>5</xdr:row>
      <xdr:rowOff>1</xdr:rowOff>
    </xdr:from>
    <xdr:to>
      <xdr:col>15</xdr:col>
      <xdr:colOff>762000</xdr:colOff>
      <xdr:row>6</xdr:row>
      <xdr:rowOff>3206</xdr:rowOff>
    </xdr:to>
    <xdr:pic>
      <xdr:nvPicPr>
        <xdr:cNvPr id="9" name="Picture 8">
          <a:extLst>
            <a:ext uri="{FF2B5EF4-FFF2-40B4-BE49-F238E27FC236}">
              <a16:creationId xmlns:a16="http://schemas.microsoft.com/office/drawing/2014/main" id="{84696D7E-0527-49DF-A263-8F60BEF4288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688051" y="3857626"/>
          <a:ext cx="761999" cy="1022380"/>
        </a:xfrm>
        <a:prstGeom prst="rect">
          <a:avLst/>
        </a:prstGeom>
      </xdr:spPr>
    </xdr:pic>
    <xdr:clientData/>
  </xdr:twoCellAnchor>
  <xdr:twoCellAnchor>
    <xdr:from>
      <xdr:col>15</xdr:col>
      <xdr:colOff>1933575</xdr:colOff>
      <xdr:row>3</xdr:row>
      <xdr:rowOff>1009651</xdr:rowOff>
    </xdr:from>
    <xdr:to>
      <xdr:col>15</xdr:col>
      <xdr:colOff>4041172</xdr:colOff>
      <xdr:row>4</xdr:row>
      <xdr:rowOff>981076</xdr:rowOff>
    </xdr:to>
    <xdr:pic>
      <xdr:nvPicPr>
        <xdr:cNvPr id="13" name="Picture 12">
          <a:extLst>
            <a:ext uri="{FF2B5EF4-FFF2-40B4-BE49-F238E27FC236}">
              <a16:creationId xmlns:a16="http://schemas.microsoft.com/office/drawing/2014/main" id="{19918C87-CCFD-404B-AF34-FF30498BE0B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621625" y="1809751"/>
          <a:ext cx="2107597" cy="990600"/>
        </a:xfrm>
        <a:prstGeom prst="rect">
          <a:avLst/>
        </a:prstGeom>
      </xdr:spPr>
    </xdr:pic>
    <xdr:clientData/>
  </xdr:twoCellAnchor>
  <xdr:twoCellAnchor>
    <xdr:from>
      <xdr:col>15</xdr:col>
      <xdr:colOff>1</xdr:colOff>
      <xdr:row>6</xdr:row>
      <xdr:rowOff>1</xdr:rowOff>
    </xdr:from>
    <xdr:to>
      <xdr:col>15</xdr:col>
      <xdr:colOff>850423</xdr:colOff>
      <xdr:row>6</xdr:row>
      <xdr:rowOff>971551</xdr:rowOff>
    </xdr:to>
    <xdr:pic>
      <xdr:nvPicPr>
        <xdr:cNvPr id="23" name="Picture 22">
          <a:extLst>
            <a:ext uri="{FF2B5EF4-FFF2-40B4-BE49-F238E27FC236}">
              <a16:creationId xmlns:a16="http://schemas.microsoft.com/office/drawing/2014/main" id="{6C038D0A-8154-4762-A11A-253F04D18C2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8688051" y="3857626"/>
          <a:ext cx="850422" cy="971550"/>
        </a:xfrm>
        <a:prstGeom prst="rect">
          <a:avLst/>
        </a:prstGeom>
      </xdr:spPr>
    </xdr:pic>
    <xdr:clientData/>
  </xdr:twoCellAnchor>
  <xdr:twoCellAnchor>
    <xdr:from>
      <xdr:col>15</xdr:col>
      <xdr:colOff>828675</xdr:colOff>
      <xdr:row>5</xdr:row>
      <xdr:rowOff>971551</xdr:rowOff>
    </xdr:from>
    <xdr:to>
      <xdr:col>15</xdr:col>
      <xdr:colOff>1657350</xdr:colOff>
      <xdr:row>6</xdr:row>
      <xdr:rowOff>966972</xdr:rowOff>
    </xdr:to>
    <xdr:pic>
      <xdr:nvPicPr>
        <xdr:cNvPr id="25" name="Picture 24">
          <a:extLst>
            <a:ext uri="{FF2B5EF4-FFF2-40B4-BE49-F238E27FC236}">
              <a16:creationId xmlns:a16="http://schemas.microsoft.com/office/drawing/2014/main" id="{5A8636CC-B498-4D09-BF84-2D41A9F1551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9516725" y="3810001"/>
          <a:ext cx="828675" cy="1014596"/>
        </a:xfrm>
        <a:prstGeom prst="rect">
          <a:avLst/>
        </a:prstGeom>
      </xdr:spPr>
    </xdr:pic>
    <xdr:clientData/>
  </xdr:twoCellAnchor>
  <xdr:twoCellAnchor>
    <xdr:from>
      <xdr:col>15</xdr:col>
      <xdr:colOff>1657351</xdr:colOff>
      <xdr:row>5</xdr:row>
      <xdr:rowOff>1000125</xdr:rowOff>
    </xdr:from>
    <xdr:to>
      <xdr:col>15</xdr:col>
      <xdr:colOff>2819401</xdr:colOff>
      <xdr:row>6</xdr:row>
      <xdr:rowOff>997413</xdr:rowOff>
    </xdr:to>
    <xdr:pic>
      <xdr:nvPicPr>
        <xdr:cNvPr id="27" name="Picture 26">
          <a:extLst>
            <a:ext uri="{FF2B5EF4-FFF2-40B4-BE49-F238E27FC236}">
              <a16:creationId xmlns:a16="http://schemas.microsoft.com/office/drawing/2014/main" id="{15C4D9A3-F903-4AA2-84EF-038A20C8A6D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345401" y="3838575"/>
          <a:ext cx="1162050" cy="1016463"/>
        </a:xfrm>
        <a:prstGeom prst="rect">
          <a:avLst/>
        </a:prstGeom>
      </xdr:spPr>
    </xdr:pic>
    <xdr:clientData/>
  </xdr:twoCellAnchor>
  <xdr:twoCellAnchor>
    <xdr:from>
      <xdr:col>15</xdr:col>
      <xdr:colOff>2800351</xdr:colOff>
      <xdr:row>5</xdr:row>
      <xdr:rowOff>1000125</xdr:rowOff>
    </xdr:from>
    <xdr:to>
      <xdr:col>15</xdr:col>
      <xdr:colOff>3838575</xdr:colOff>
      <xdr:row>6</xdr:row>
      <xdr:rowOff>1003323</xdr:rowOff>
    </xdr:to>
    <xdr:pic>
      <xdr:nvPicPr>
        <xdr:cNvPr id="29" name="Picture 28">
          <a:extLst>
            <a:ext uri="{FF2B5EF4-FFF2-40B4-BE49-F238E27FC236}">
              <a16:creationId xmlns:a16="http://schemas.microsoft.com/office/drawing/2014/main" id="{7EA8D3BB-9415-44BA-8F77-B13E147950C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1488401" y="3838575"/>
          <a:ext cx="1038224" cy="1022373"/>
        </a:xfrm>
        <a:prstGeom prst="rect">
          <a:avLst/>
        </a:prstGeom>
      </xdr:spPr>
    </xdr:pic>
    <xdr:clientData/>
  </xdr:twoCellAnchor>
  <xdr:twoCellAnchor>
    <xdr:from>
      <xdr:col>14</xdr:col>
      <xdr:colOff>838200</xdr:colOff>
      <xdr:row>8</xdr:row>
      <xdr:rowOff>9526</xdr:rowOff>
    </xdr:from>
    <xdr:to>
      <xdr:col>15</xdr:col>
      <xdr:colOff>1390650</xdr:colOff>
      <xdr:row>8</xdr:row>
      <xdr:rowOff>979233</xdr:rowOff>
    </xdr:to>
    <xdr:pic>
      <xdr:nvPicPr>
        <xdr:cNvPr id="31" name="Picture 30">
          <a:extLst>
            <a:ext uri="{FF2B5EF4-FFF2-40B4-BE49-F238E27FC236}">
              <a16:creationId xmlns:a16="http://schemas.microsoft.com/office/drawing/2014/main" id="{F3496D3F-D06B-4E41-A13B-6F8D7289518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8659475" y="4886326"/>
          <a:ext cx="1419225" cy="969707"/>
        </a:xfrm>
        <a:prstGeom prst="rect">
          <a:avLst/>
        </a:prstGeom>
      </xdr:spPr>
    </xdr:pic>
    <xdr:clientData/>
  </xdr:twoCellAnchor>
  <xdr:twoCellAnchor>
    <xdr:from>
      <xdr:col>15</xdr:col>
      <xdr:colOff>0</xdr:colOff>
      <xdr:row>9</xdr:row>
      <xdr:rowOff>0</xdr:rowOff>
    </xdr:from>
    <xdr:to>
      <xdr:col>15</xdr:col>
      <xdr:colOff>3223744</xdr:colOff>
      <xdr:row>9</xdr:row>
      <xdr:rowOff>638175</xdr:rowOff>
    </xdr:to>
    <xdr:pic>
      <xdr:nvPicPr>
        <xdr:cNvPr id="4" name="Picture 3">
          <a:extLst>
            <a:ext uri="{FF2B5EF4-FFF2-40B4-BE49-F238E27FC236}">
              <a16:creationId xmlns:a16="http://schemas.microsoft.com/office/drawing/2014/main" id="{EBCC7288-3A29-43D1-B692-EC45A70B94E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8688050" y="5895975"/>
          <a:ext cx="3223744" cy="638175"/>
        </a:xfrm>
        <a:prstGeom prst="rect">
          <a:avLst/>
        </a:prstGeom>
      </xdr:spPr>
    </xdr:pic>
    <xdr:clientData/>
  </xdr:twoCellAnchor>
  <xdr:twoCellAnchor>
    <xdr:from>
      <xdr:col>15</xdr:col>
      <xdr:colOff>3209926</xdr:colOff>
      <xdr:row>9</xdr:row>
      <xdr:rowOff>38101</xdr:rowOff>
    </xdr:from>
    <xdr:to>
      <xdr:col>15</xdr:col>
      <xdr:colOff>7048500</xdr:colOff>
      <xdr:row>9</xdr:row>
      <xdr:rowOff>669415</xdr:rowOff>
    </xdr:to>
    <xdr:pic>
      <xdr:nvPicPr>
        <xdr:cNvPr id="7" name="Picture 6">
          <a:extLst>
            <a:ext uri="{FF2B5EF4-FFF2-40B4-BE49-F238E27FC236}">
              <a16:creationId xmlns:a16="http://schemas.microsoft.com/office/drawing/2014/main" id="{190AF69E-6380-4D47-B7AE-B50112ED667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1897976" y="5934076"/>
          <a:ext cx="3838574" cy="631314"/>
        </a:xfrm>
        <a:prstGeom prst="rect">
          <a:avLst/>
        </a:prstGeom>
      </xdr:spPr>
    </xdr:pic>
    <xdr:clientData/>
  </xdr:twoCellAnchor>
  <xdr:twoCellAnchor>
    <xdr:from>
      <xdr:col>15</xdr:col>
      <xdr:colOff>3000376</xdr:colOff>
      <xdr:row>3</xdr:row>
      <xdr:rowOff>47625</xdr:rowOff>
    </xdr:from>
    <xdr:to>
      <xdr:col>15</xdr:col>
      <xdr:colOff>5648326</xdr:colOff>
      <xdr:row>3</xdr:row>
      <xdr:rowOff>745694</xdr:rowOff>
    </xdr:to>
    <xdr:pic>
      <xdr:nvPicPr>
        <xdr:cNvPr id="10" name="Picture 9">
          <a:extLst>
            <a:ext uri="{FF2B5EF4-FFF2-40B4-BE49-F238E27FC236}">
              <a16:creationId xmlns:a16="http://schemas.microsoft.com/office/drawing/2014/main" id="{3B74AD43-FB8A-4E6E-8884-AAC945F877E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1688426" y="847725"/>
          <a:ext cx="2647950" cy="698069"/>
        </a:xfrm>
        <a:prstGeom prst="rect">
          <a:avLst/>
        </a:prstGeom>
      </xdr:spPr>
    </xdr:pic>
    <xdr:clientData/>
  </xdr:twoCellAnchor>
  <xdr:twoCellAnchor>
    <xdr:from>
      <xdr:col>15</xdr:col>
      <xdr:colOff>1</xdr:colOff>
      <xdr:row>7</xdr:row>
      <xdr:rowOff>0</xdr:rowOff>
    </xdr:from>
    <xdr:to>
      <xdr:col>15</xdr:col>
      <xdr:colOff>742950</xdr:colOff>
      <xdr:row>7</xdr:row>
      <xdr:rowOff>1000935</xdr:rowOff>
    </xdr:to>
    <xdr:pic>
      <xdr:nvPicPr>
        <xdr:cNvPr id="12" name="Picture 11">
          <a:extLst>
            <a:ext uri="{FF2B5EF4-FFF2-40B4-BE49-F238E27FC236}">
              <a16:creationId xmlns:a16="http://schemas.microsoft.com/office/drawing/2014/main" id="{0DB74335-EB98-441F-9B95-2716A0772CD3}"/>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8688051" y="6915150"/>
          <a:ext cx="742949" cy="1000935"/>
        </a:xfrm>
        <a:prstGeom prst="rect">
          <a:avLst/>
        </a:prstGeom>
      </xdr:spPr>
    </xdr:pic>
    <xdr:clientData/>
  </xdr:twoCellAnchor>
  <xdr:twoCellAnchor>
    <xdr:from>
      <xdr:col>15</xdr:col>
      <xdr:colOff>752476</xdr:colOff>
      <xdr:row>7</xdr:row>
      <xdr:rowOff>28575</xdr:rowOff>
    </xdr:from>
    <xdr:to>
      <xdr:col>15</xdr:col>
      <xdr:colOff>1466850</xdr:colOff>
      <xdr:row>7</xdr:row>
      <xdr:rowOff>987434</xdr:rowOff>
    </xdr:to>
    <xdr:pic>
      <xdr:nvPicPr>
        <xdr:cNvPr id="15" name="Picture 14">
          <a:extLst>
            <a:ext uri="{FF2B5EF4-FFF2-40B4-BE49-F238E27FC236}">
              <a16:creationId xmlns:a16="http://schemas.microsoft.com/office/drawing/2014/main" id="{AD96E8EA-136B-4D40-97C8-F6AB62F937E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9440526" y="6943725"/>
          <a:ext cx="714374" cy="958859"/>
        </a:xfrm>
        <a:prstGeom prst="rect">
          <a:avLst/>
        </a:prstGeom>
      </xdr:spPr>
    </xdr:pic>
    <xdr:clientData/>
  </xdr:twoCellAnchor>
  <xdr:twoCellAnchor>
    <xdr:from>
      <xdr:col>14</xdr:col>
      <xdr:colOff>838200</xdr:colOff>
      <xdr:row>7</xdr:row>
      <xdr:rowOff>9526</xdr:rowOff>
    </xdr:from>
    <xdr:to>
      <xdr:col>15</xdr:col>
      <xdr:colOff>1390650</xdr:colOff>
      <xdr:row>7</xdr:row>
      <xdr:rowOff>979233</xdr:rowOff>
    </xdr:to>
    <xdr:pic>
      <xdr:nvPicPr>
        <xdr:cNvPr id="21" name="Picture 20">
          <a:extLst>
            <a:ext uri="{FF2B5EF4-FFF2-40B4-BE49-F238E27FC236}">
              <a16:creationId xmlns:a16="http://schemas.microsoft.com/office/drawing/2014/main" id="{4126B678-FEE3-4E66-8DDA-E9FF388C20D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8659475" y="4886326"/>
          <a:ext cx="1419225" cy="969707"/>
        </a:xfrm>
        <a:prstGeom prst="rect">
          <a:avLst/>
        </a:prstGeom>
      </xdr:spPr>
    </xdr:pic>
    <xdr:clientData/>
  </xdr:twoCellAnchor>
  <xdr:twoCellAnchor>
    <xdr:from>
      <xdr:col>15</xdr:col>
      <xdr:colOff>0</xdr:colOff>
      <xdr:row>10</xdr:row>
      <xdr:rowOff>0</xdr:rowOff>
    </xdr:from>
    <xdr:to>
      <xdr:col>15</xdr:col>
      <xdr:colOff>5513945</xdr:colOff>
      <xdr:row>10</xdr:row>
      <xdr:rowOff>866775</xdr:rowOff>
    </xdr:to>
    <xdr:pic>
      <xdr:nvPicPr>
        <xdr:cNvPr id="6" name="Picture 5">
          <a:extLst>
            <a:ext uri="{FF2B5EF4-FFF2-40B4-BE49-F238E27FC236}">
              <a16:creationId xmlns:a16="http://schemas.microsoft.com/office/drawing/2014/main" id="{858E71F0-8995-421C-A88E-FD7254D2117F}"/>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8688050" y="7934325"/>
          <a:ext cx="5513945" cy="866775"/>
        </a:xfrm>
        <a:prstGeom prst="rect">
          <a:avLst/>
        </a:prstGeom>
      </xdr:spPr>
    </xdr:pic>
    <xdr:clientData/>
  </xdr:twoCellAnchor>
  <xdr:twoCellAnchor>
    <xdr:from>
      <xdr:col>15</xdr:col>
      <xdr:colOff>2466975</xdr:colOff>
      <xdr:row>13</xdr:row>
      <xdr:rowOff>1</xdr:rowOff>
    </xdr:from>
    <xdr:to>
      <xdr:col>15</xdr:col>
      <xdr:colOff>4933950</xdr:colOff>
      <xdr:row>13</xdr:row>
      <xdr:rowOff>958247</xdr:rowOff>
    </xdr:to>
    <xdr:pic>
      <xdr:nvPicPr>
        <xdr:cNvPr id="24" name="Picture 23">
          <a:extLst>
            <a:ext uri="{FF2B5EF4-FFF2-40B4-BE49-F238E27FC236}">
              <a16:creationId xmlns:a16="http://schemas.microsoft.com/office/drawing/2014/main" id="{A609F869-9D7C-4EE9-9CFF-E9891D1059F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1155025" y="10991851"/>
          <a:ext cx="2466975" cy="958246"/>
        </a:xfrm>
        <a:prstGeom prst="rect">
          <a:avLst/>
        </a:prstGeom>
      </xdr:spPr>
    </xdr:pic>
    <xdr:clientData/>
  </xdr:twoCellAnchor>
  <xdr:twoCellAnchor>
    <xdr:from>
      <xdr:col>15</xdr:col>
      <xdr:colOff>0</xdr:colOff>
      <xdr:row>13</xdr:row>
      <xdr:rowOff>0</xdr:rowOff>
    </xdr:from>
    <xdr:to>
      <xdr:col>15</xdr:col>
      <xdr:colOff>2437088</xdr:colOff>
      <xdr:row>13</xdr:row>
      <xdr:rowOff>923925</xdr:rowOff>
    </xdr:to>
    <xdr:pic>
      <xdr:nvPicPr>
        <xdr:cNvPr id="34" name="Picture 33">
          <a:extLst>
            <a:ext uri="{FF2B5EF4-FFF2-40B4-BE49-F238E27FC236}">
              <a16:creationId xmlns:a16="http://schemas.microsoft.com/office/drawing/2014/main" id="{29895B64-CB01-4800-86C0-ECBA3DCD7FD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8688050" y="10991850"/>
          <a:ext cx="2437088" cy="923925"/>
        </a:xfrm>
        <a:prstGeom prst="rect">
          <a:avLst/>
        </a:prstGeom>
      </xdr:spPr>
    </xdr:pic>
    <xdr:clientData/>
  </xdr:twoCellAnchor>
  <xdr:twoCellAnchor>
    <xdr:from>
      <xdr:col>15</xdr:col>
      <xdr:colOff>28575</xdr:colOff>
      <xdr:row>13</xdr:row>
      <xdr:rowOff>1123951</xdr:rowOff>
    </xdr:from>
    <xdr:to>
      <xdr:col>15</xdr:col>
      <xdr:colOff>2478882</xdr:colOff>
      <xdr:row>13</xdr:row>
      <xdr:rowOff>1905001</xdr:rowOff>
    </xdr:to>
    <xdr:pic>
      <xdr:nvPicPr>
        <xdr:cNvPr id="36" name="Picture 35">
          <a:extLst>
            <a:ext uri="{FF2B5EF4-FFF2-40B4-BE49-F238E27FC236}">
              <a16:creationId xmlns:a16="http://schemas.microsoft.com/office/drawing/2014/main" id="{E514CB37-4432-457D-B991-4778E0BC150D}"/>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8716625" y="12115801"/>
          <a:ext cx="2450307" cy="781050"/>
        </a:xfrm>
        <a:prstGeom prst="rect">
          <a:avLst/>
        </a:prstGeom>
      </xdr:spPr>
    </xdr:pic>
    <xdr:clientData/>
  </xdr:twoCellAnchor>
  <xdr:twoCellAnchor>
    <xdr:from>
      <xdr:col>15</xdr:col>
      <xdr:colOff>2505076</xdr:colOff>
      <xdr:row>13</xdr:row>
      <xdr:rowOff>1209676</xdr:rowOff>
    </xdr:from>
    <xdr:to>
      <xdr:col>15</xdr:col>
      <xdr:colOff>4486276</xdr:colOff>
      <xdr:row>13</xdr:row>
      <xdr:rowOff>1602552</xdr:rowOff>
    </xdr:to>
    <xdr:pic>
      <xdr:nvPicPr>
        <xdr:cNvPr id="38" name="Picture 37">
          <a:extLst>
            <a:ext uri="{FF2B5EF4-FFF2-40B4-BE49-F238E27FC236}">
              <a16:creationId xmlns:a16="http://schemas.microsoft.com/office/drawing/2014/main" id="{F7F4B08B-AE9C-45A5-9F0D-76322A2550AA}"/>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1193126" y="12201526"/>
          <a:ext cx="1981200" cy="392876"/>
        </a:xfrm>
        <a:prstGeom prst="rect">
          <a:avLst/>
        </a:prstGeom>
      </xdr:spPr>
    </xdr:pic>
    <xdr:clientData/>
  </xdr:twoCellAnchor>
  <xdr:twoCellAnchor>
    <xdr:from>
      <xdr:col>15</xdr:col>
      <xdr:colOff>4524375</xdr:colOff>
      <xdr:row>13</xdr:row>
      <xdr:rowOff>1038225</xdr:rowOff>
    </xdr:from>
    <xdr:to>
      <xdr:col>15</xdr:col>
      <xdr:colOff>6981825</xdr:colOff>
      <xdr:row>13</xdr:row>
      <xdr:rowOff>2019300</xdr:rowOff>
    </xdr:to>
    <xdr:pic>
      <xdr:nvPicPr>
        <xdr:cNvPr id="40" name="Picture 39">
          <a:extLst>
            <a:ext uri="{FF2B5EF4-FFF2-40B4-BE49-F238E27FC236}">
              <a16:creationId xmlns:a16="http://schemas.microsoft.com/office/drawing/2014/main" id="{5DCF93AE-DF8C-453B-A2BB-073C95D2B571}"/>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3212425" y="12030075"/>
          <a:ext cx="2457450" cy="981075"/>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3"/>
  <sheetViews>
    <sheetView zoomScaleNormal="100" workbookViewId="0">
      <pane ySplit="2" topLeftCell="A3" activePane="bottomLeft" state="frozen"/>
      <selection activeCell="C19" sqref="C19"/>
      <selection pane="bottomLeft" activeCell="A18" sqref="A18:A23"/>
    </sheetView>
  </sheetViews>
  <sheetFormatPr defaultColWidth="8.7109375" defaultRowHeight="15" x14ac:dyDescent="0.25"/>
  <cols>
    <col min="1" max="1" width="50.42578125" customWidth="1"/>
    <col min="2" max="7" width="12" customWidth="1"/>
    <col min="8" max="8" width="3" customWidth="1"/>
  </cols>
  <sheetData>
    <row r="1" spans="1:7" ht="18" x14ac:dyDescent="0.25">
      <c r="A1" s="3" t="s">
        <v>0</v>
      </c>
    </row>
    <row r="2" spans="1:7" x14ac:dyDescent="0.25">
      <c r="A2" s="4"/>
    </row>
    <row r="3" spans="1:7" x14ac:dyDescent="0.25">
      <c r="A3" s="5" t="s">
        <v>1</v>
      </c>
    </row>
    <row r="4" spans="1:7" ht="30" customHeight="1" x14ac:dyDescent="0.25">
      <c r="A4" s="20" t="s">
        <v>2</v>
      </c>
      <c r="B4" s="22" t="s">
        <v>776</v>
      </c>
      <c r="C4" s="23"/>
      <c r="D4" s="23"/>
      <c r="E4" s="23"/>
      <c r="F4" s="23"/>
      <c r="G4" s="23"/>
    </row>
    <row r="6" spans="1:7" x14ac:dyDescent="0.25">
      <c r="A6" s="5" t="s">
        <v>4</v>
      </c>
    </row>
    <row r="7" spans="1:7" x14ac:dyDescent="0.25">
      <c r="A7" s="6" t="s">
        <v>5</v>
      </c>
      <c r="B7" s="7">
        <f>COUNTA('Test Case'!$A$4:$A$499)</f>
        <v>133</v>
      </c>
    </row>
    <row r="8" spans="1:7" x14ac:dyDescent="0.25">
      <c r="A8" s="6" t="s">
        <v>6</v>
      </c>
      <c r="B8" s="7">
        <f>COUNTIF('Test Case'!$L$4:$L$499,"Pass")</f>
        <v>117</v>
      </c>
    </row>
    <row r="9" spans="1:7" x14ac:dyDescent="0.25">
      <c r="A9" s="6" t="s">
        <v>7</v>
      </c>
      <c r="B9" s="7">
        <f>COUNTIF('Test Case'!$L$4:$L$499,"Fail")</f>
        <v>16</v>
      </c>
    </row>
    <row r="10" spans="1:7" x14ac:dyDescent="0.25">
      <c r="A10" s="6" t="s">
        <v>8</v>
      </c>
      <c r="B10" s="7">
        <f>COUNTIF('Test Case'!$L$4:$L$499,"Blocked")</f>
        <v>0</v>
      </c>
    </row>
    <row r="11" spans="1:7" x14ac:dyDescent="0.25">
      <c r="A11" s="6" t="s">
        <v>9</v>
      </c>
      <c r="B11" s="7">
        <f>COUNTIF('Test Case'!$L$4:$L$499,"Not Run")</f>
        <v>0</v>
      </c>
    </row>
    <row r="12" spans="1:7" x14ac:dyDescent="0.25">
      <c r="A12" s="6" t="s">
        <v>10</v>
      </c>
      <c r="B12" s="7">
        <f>B8+B9+B10</f>
        <v>133</v>
      </c>
    </row>
    <row r="13" spans="1:7" x14ac:dyDescent="0.25">
      <c r="A13" s="6" t="s">
        <v>11</v>
      </c>
      <c r="B13" s="7">
        <f>IF(B7=0,0,B12/B7)</f>
        <v>1</v>
      </c>
    </row>
    <row r="14" spans="1:7" x14ac:dyDescent="0.25">
      <c r="A14" s="6" t="s">
        <v>12</v>
      </c>
      <c r="B14" s="21">
        <f>IF(B12=0,0,B8/B12)</f>
        <v>0.87969924812030076</v>
      </c>
    </row>
    <row r="15" spans="1:7" x14ac:dyDescent="0.25">
      <c r="A15" s="6" t="s">
        <v>965</v>
      </c>
      <c r="B15" s="7">
        <f>COUNTIFS('Test Case'!$L$4:$L$499,"Fail",'Test Case'!$N$4:$N$499,"")</f>
        <v>0</v>
      </c>
    </row>
    <row r="17" spans="1:7" x14ac:dyDescent="0.25">
      <c r="A17" s="5" t="s">
        <v>13</v>
      </c>
      <c r="D17" s="27" t="s">
        <v>20</v>
      </c>
      <c r="E17" s="27"/>
      <c r="F17" s="27"/>
    </row>
    <row r="18" spans="1:7" x14ac:dyDescent="0.25">
      <c r="A18" s="6" t="s">
        <v>14</v>
      </c>
      <c r="B18" s="7">
        <f>COUNTA('Bug Report'!$A$4:$A$14)</f>
        <v>11</v>
      </c>
      <c r="D18" s="24" t="s">
        <v>21</v>
      </c>
      <c r="E18" s="25"/>
      <c r="F18" s="26"/>
      <c r="G18" s="7">
        <f>COUNTA(Checklist!$A$4:$A$503)</f>
        <v>52</v>
      </c>
    </row>
    <row r="19" spans="1:7" x14ac:dyDescent="0.25">
      <c r="A19" s="6" t="s">
        <v>15</v>
      </c>
      <c r="B19" s="7">
        <f>COUNTIF('Bug Report'!$I$4:$I$14,"Critical")</f>
        <v>2</v>
      </c>
      <c r="D19" s="24" t="s">
        <v>6</v>
      </c>
      <c r="E19" s="25"/>
      <c r="F19" s="26"/>
      <c r="G19" s="7">
        <f>COUNTIF(Checklist!$D$4:$D$503,"Pass")</f>
        <v>45</v>
      </c>
    </row>
    <row r="20" spans="1:7" x14ac:dyDescent="0.25">
      <c r="A20" s="6" t="s">
        <v>16</v>
      </c>
      <c r="B20" s="7">
        <f>COUNTIF('Bug Report'!$I$4:$I$14,"Major")</f>
        <v>3</v>
      </c>
      <c r="D20" s="24" t="s">
        <v>7</v>
      </c>
      <c r="E20" s="25"/>
      <c r="F20" s="26"/>
      <c r="G20" s="7">
        <f>COUNTIF(Checklist!$D$4:$D$503,"Fail")</f>
        <v>7</v>
      </c>
    </row>
    <row r="21" spans="1:7" x14ac:dyDescent="0.25">
      <c r="A21" s="6" t="s">
        <v>17</v>
      </c>
      <c r="B21" s="7">
        <f>COUNTIF('Bug Report'!$I$4:$I$14,"Minor")</f>
        <v>6</v>
      </c>
      <c r="D21" s="24" t="s">
        <v>8</v>
      </c>
      <c r="E21" s="25"/>
      <c r="F21" s="26"/>
      <c r="G21" s="7">
        <f>COUNTIF(Checklist!$D$4:$D$503,"Blocked")</f>
        <v>0</v>
      </c>
    </row>
    <row r="22" spans="1:7" x14ac:dyDescent="0.25">
      <c r="A22" s="6" t="s">
        <v>18</v>
      </c>
      <c r="B22" s="7">
        <f>COUNTIF('Bug Report'!$I$4:$I$14,"Trivial")</f>
        <v>0</v>
      </c>
      <c r="D22" s="24" t="s">
        <v>9</v>
      </c>
      <c r="E22" s="25"/>
      <c r="F22" s="26"/>
      <c r="G22" s="7">
        <f>COUNTIF(Checklist!$D$4:$D$503,"Not Run")</f>
        <v>0</v>
      </c>
    </row>
    <row r="23" spans="1:7" x14ac:dyDescent="0.25">
      <c r="A23" s="6" t="s">
        <v>19</v>
      </c>
      <c r="B23" s="7">
        <f>B18-COUNTIF('Bug Report'!$K$4:$K$14,"Closed")-COUNTIF('Bug Report'!$K$4:$K$14,"Rejected")</f>
        <v>11</v>
      </c>
    </row>
    <row r="25" spans="1:7" x14ac:dyDescent="0.25">
      <c r="A25" s="5" t="s">
        <v>22</v>
      </c>
    </row>
    <row r="26" spans="1:7" x14ac:dyDescent="0.25">
      <c r="A26" s="12" t="s">
        <v>23</v>
      </c>
      <c r="B26" s="12" t="s">
        <v>24</v>
      </c>
      <c r="C26" s="12" t="s">
        <v>6</v>
      </c>
      <c r="D26" s="12" t="s">
        <v>7</v>
      </c>
      <c r="E26" s="12" t="s">
        <v>8</v>
      </c>
      <c r="F26" s="12" t="s">
        <v>9</v>
      </c>
      <c r="G26" s="12" t="s">
        <v>25</v>
      </c>
    </row>
    <row r="27" spans="1:7" ht="27.75" customHeight="1" x14ac:dyDescent="0.25">
      <c r="A27" s="2" t="str">
        <f>Scenario!A4&amp;" - "&amp;Scenario!B4</f>
        <v>SC-01 - Hiển thị và giá trị mặc định của form tạo mới</v>
      </c>
      <c r="B27" s="8">
        <f>Scenario!F4</f>
        <v>7</v>
      </c>
      <c r="C27" s="8">
        <f>Scenario!G4</f>
        <v>7</v>
      </c>
      <c r="D27" s="8">
        <f>Scenario!H4</f>
        <v>0</v>
      </c>
      <c r="E27" s="8">
        <f>Scenario!I4</f>
        <v>0</v>
      </c>
      <c r="F27" s="8">
        <f>Scenario!J4</f>
        <v>0</v>
      </c>
      <c r="G27" s="8">
        <f>ROUND(Scenario!L4, 2)</f>
        <v>1</v>
      </c>
    </row>
    <row r="28" spans="1:7" ht="27.75" customHeight="1" x14ac:dyDescent="0.25">
      <c r="A28" s="2" t="str">
        <f>Scenario!A5&amp;" - "&amp;Scenario!B5</f>
        <v>SC-02 - Tạo giá mua FCL thành công và các nút thao tác</v>
      </c>
      <c r="B28" s="8">
        <f>Scenario!F5</f>
        <v>8</v>
      </c>
      <c r="C28" s="8">
        <f>Scenario!G5</f>
        <v>8</v>
      </c>
      <c r="D28" s="8">
        <f>Scenario!H5</f>
        <v>0</v>
      </c>
      <c r="E28" s="8">
        <f>Scenario!I5</f>
        <v>0</v>
      </c>
      <c r="F28" s="8">
        <f>Scenario!J5</f>
        <v>0</v>
      </c>
      <c r="G28" s="8">
        <f>ROUND(Scenario!L5, 2)</f>
        <v>1</v>
      </c>
    </row>
    <row r="29" spans="1:7" ht="27.75" customHeight="1" x14ac:dyDescent="0.25">
      <c r="A29" s="2" t="str">
        <f>Scenario!A6&amp;" - "&amp;Scenario!B6</f>
        <v>SC-03 - Kiểm tra trường bắt buộc</v>
      </c>
      <c r="B29" s="8">
        <f>Scenario!F6</f>
        <v>10</v>
      </c>
      <c r="C29" s="8">
        <f>Scenario!G6</f>
        <v>10</v>
      </c>
      <c r="D29" s="8">
        <f>Scenario!H6</f>
        <v>0</v>
      </c>
      <c r="E29" s="8">
        <f>Scenario!I6</f>
        <v>0</v>
      </c>
      <c r="F29" s="8">
        <f>Scenario!J6</f>
        <v>0</v>
      </c>
      <c r="G29" s="8">
        <f>ROUND(Scenario!L6, 2)</f>
        <v>1</v>
      </c>
    </row>
    <row r="30" spans="1:7" ht="27.75" customHeight="1" x14ac:dyDescent="0.25">
      <c r="A30" s="2" t="str">
        <f>Scenario!A7&amp;" - "&amp;Scenario!B7</f>
        <v>SC-04 - Kiểm tra dữ liệu nhập</v>
      </c>
      <c r="B30" s="8">
        <f>Scenario!F7</f>
        <v>14</v>
      </c>
      <c r="C30" s="8">
        <f>Scenario!G7</f>
        <v>4</v>
      </c>
      <c r="D30" s="8">
        <f>Scenario!H7</f>
        <v>10</v>
      </c>
      <c r="E30" s="8">
        <f>Scenario!I7</f>
        <v>0</v>
      </c>
      <c r="F30" s="8">
        <f>Scenario!J7</f>
        <v>0</v>
      </c>
      <c r="G30" s="8">
        <f>ROUND(Scenario!L7, 2)</f>
        <v>0.28999999999999998</v>
      </c>
    </row>
    <row r="31" spans="1:7" ht="27.75" customHeight="1" x14ac:dyDescent="0.25">
      <c r="A31" s="2" t="str">
        <f>Scenario!A8&amp;" - "&amp;Scenario!B8</f>
        <v>SC-05 - Dropdown, lựa chọn và trường tùy chọn</v>
      </c>
      <c r="B31" s="8">
        <f>Scenario!F8</f>
        <v>6</v>
      </c>
      <c r="C31" s="8">
        <f>Scenario!G8</f>
        <v>6</v>
      </c>
      <c r="D31" s="8">
        <f>Scenario!H8</f>
        <v>0</v>
      </c>
      <c r="E31" s="8">
        <f>Scenario!I8</f>
        <v>0</v>
      </c>
      <c r="F31" s="8">
        <f>Scenario!J8</f>
        <v>0</v>
      </c>
      <c r="G31" s="8">
        <f>ROUND(Scenario!L8, 2)</f>
        <v>1</v>
      </c>
    </row>
    <row r="32" spans="1:7" ht="27.75" customHeight="1" x14ac:dyDescent="0.25">
      <c r="A32" s="2" t="str">
        <f>Scenario!A9&amp;" - "&amp;Scenario!B9</f>
        <v>SC-06 - Ngày hiệu lực và hết hạn theo hợp đồng</v>
      </c>
      <c r="B32" s="8">
        <f>Scenario!F9</f>
        <v>1</v>
      </c>
      <c r="C32" s="8">
        <f>Scenario!G9</f>
        <v>1</v>
      </c>
      <c r="D32" s="8">
        <f>Scenario!H9</f>
        <v>0</v>
      </c>
      <c r="E32" s="8">
        <f>Scenario!I9</f>
        <v>0</v>
      </c>
      <c r="F32" s="8">
        <f>Scenario!J9</f>
        <v>0</v>
      </c>
      <c r="G32" s="8">
        <f>ROUND(Scenario!L9, 2)</f>
        <v>1</v>
      </c>
    </row>
    <row r="33" spans="1:7" ht="27.75" customHeight="1" x14ac:dyDescent="0.25">
      <c r="A33" s="2" t="str">
        <f>Scenario!A10&amp;" - "&amp;Scenario!B10</f>
        <v>SC-07 - Bản ghi sau khi tạo tại tab Updating</v>
      </c>
      <c r="B33" s="8">
        <f>Scenario!F10</f>
        <v>8</v>
      </c>
      <c r="C33" s="8">
        <f>Scenario!G10</f>
        <v>8</v>
      </c>
      <c r="D33" s="8">
        <f>Scenario!H10</f>
        <v>0</v>
      </c>
      <c r="E33" s="8">
        <f>Scenario!I10</f>
        <v>0</v>
      </c>
      <c r="F33" s="8">
        <f>Scenario!J10</f>
        <v>0</v>
      </c>
      <c r="G33" s="8">
        <f>ROUND(Scenario!L10, 2)</f>
        <v>1</v>
      </c>
    </row>
    <row r="34" spans="1:7" ht="27.75" customHeight="1" x14ac:dyDescent="0.25">
      <c r="A34" s="2" t="str">
        <f>Scenario!A11&amp;" - "&amp;Scenario!B11</f>
        <v>SC-08 - Gửi duyệt (Send request) đơn lẻ và hàng loạt</v>
      </c>
      <c r="B34" s="8">
        <f>Scenario!F11</f>
        <v>12</v>
      </c>
      <c r="C34" s="8">
        <f>Scenario!G11</f>
        <v>12</v>
      </c>
      <c r="D34" s="8">
        <f>Scenario!H11</f>
        <v>0</v>
      </c>
      <c r="E34" s="8">
        <f>Scenario!I11</f>
        <v>0</v>
      </c>
      <c r="F34" s="8">
        <f>Scenario!J11</f>
        <v>0</v>
      </c>
      <c r="G34" s="8">
        <f>ROUND(Scenario!L11, 2)</f>
        <v>1</v>
      </c>
    </row>
    <row r="35" spans="1:7" ht="27.75" customHeight="1" x14ac:dyDescent="0.25">
      <c r="A35" s="2" t="str">
        <f>Scenario!A12&amp;" - "&amp;Scenario!B12</f>
        <v>SC-09 - Bản ghi sau khi gửi duyệt (tab Pending)</v>
      </c>
      <c r="B35" s="8">
        <f>Scenario!F12</f>
        <v>6</v>
      </c>
      <c r="C35" s="8">
        <f>Scenario!G12</f>
        <v>6</v>
      </c>
      <c r="D35" s="8">
        <f>Scenario!H12</f>
        <v>0</v>
      </c>
      <c r="E35" s="8">
        <f>Scenario!I12</f>
        <v>0</v>
      </c>
      <c r="F35" s="8">
        <f>Scenario!J12</f>
        <v>0</v>
      </c>
      <c r="G35" s="8">
        <f>ROUND(Scenario!L12, 2)</f>
        <v>1</v>
      </c>
    </row>
    <row r="36" spans="1:7" ht="27.75" customHeight="1" x14ac:dyDescent="0.25">
      <c r="A36" s="2" t="str">
        <f>Scenario!A13&amp;" - "&amp;Scenario!B13</f>
        <v>SC-10 - Duyệt (Accept) và từ chối (Reject) đơn lẻ và hàng loạt</v>
      </c>
      <c r="B36" s="8">
        <f>Scenario!F13</f>
        <v>15</v>
      </c>
      <c r="C36" s="8">
        <f>Scenario!G13</f>
        <v>14</v>
      </c>
      <c r="D36" s="8">
        <f>Scenario!H13</f>
        <v>1</v>
      </c>
      <c r="E36" s="8">
        <f>Scenario!I13</f>
        <v>0</v>
      </c>
      <c r="F36" s="8">
        <f>Scenario!J13</f>
        <v>0</v>
      </c>
      <c r="G36" s="8">
        <f>ROUND(Scenario!L13, 2)</f>
        <v>0.93</v>
      </c>
    </row>
    <row r="37" spans="1:7" ht="27.75" customHeight="1" x14ac:dyDescent="0.25">
      <c r="A37" s="2" t="str">
        <f>Scenario!A14&amp;" - "&amp;Scenario!B14</f>
        <v>SC-11 - Bản ghi sau khi duyệt (tab Accepted)</v>
      </c>
      <c r="B37" s="8">
        <f>Scenario!F14</f>
        <v>18</v>
      </c>
      <c r="C37" s="8">
        <f>Scenario!G14</f>
        <v>17</v>
      </c>
      <c r="D37" s="8">
        <f>Scenario!H14</f>
        <v>1</v>
      </c>
      <c r="E37" s="8">
        <f>Scenario!I14</f>
        <v>0</v>
      </c>
      <c r="F37" s="8">
        <f>Scenario!J14</f>
        <v>0</v>
      </c>
      <c r="G37" s="8">
        <f>ROUND(Scenario!L14, 2)</f>
        <v>0.94</v>
      </c>
    </row>
    <row r="38" spans="1:7" ht="27.75" customHeight="1" x14ac:dyDescent="0.25">
      <c r="A38" s="2" t="str">
        <f>Scenario!A15&amp;" - "&amp;Scenario!B15</f>
        <v>SC-12 - Bản ghi sau khi từ chối (tab Rejected)</v>
      </c>
      <c r="B38" s="8">
        <f>Scenario!F15</f>
        <v>7</v>
      </c>
      <c r="C38" s="8">
        <f>Scenario!G15</f>
        <v>7</v>
      </c>
      <c r="D38" s="8">
        <f>Scenario!H15</f>
        <v>0</v>
      </c>
      <c r="E38" s="8">
        <f>Scenario!I15</f>
        <v>0</v>
      </c>
      <c r="F38" s="8">
        <f>Scenario!J15</f>
        <v>0</v>
      </c>
      <c r="G38" s="8">
        <f>ROUND(Scenario!L15, 2)</f>
        <v>1</v>
      </c>
    </row>
    <row r="39" spans="1:7" ht="27.75" customHeight="1" x14ac:dyDescent="0.25">
      <c r="A39" s="2" t="str">
        <f>Scenario!A16&amp;" - "&amp;Scenario!B16</f>
        <v>SC-13 - Bản ghi sau khi hủy (tab Revoked)</v>
      </c>
      <c r="B39" s="8">
        <f>Scenario!F16</f>
        <v>1</v>
      </c>
      <c r="C39" s="8">
        <f>Scenario!G16</f>
        <v>1</v>
      </c>
      <c r="D39" s="8">
        <f>Scenario!H16</f>
        <v>0</v>
      </c>
      <c r="E39" s="8">
        <f>Scenario!I16</f>
        <v>0</v>
      </c>
      <c r="F39" s="8">
        <f>Scenario!J16</f>
        <v>0</v>
      </c>
      <c r="G39" s="8">
        <f>ROUND(Scenario!L16, 2)</f>
        <v>1</v>
      </c>
    </row>
    <row r="40" spans="1:7" ht="27.75" customHeight="1" x14ac:dyDescent="0.25">
      <c r="A40" s="2" t="str">
        <f>Scenario!A17&amp;" - "&amp;Scenario!B17</f>
        <v>SC-14 - Hiển thị các thao tác theo phân quyền</v>
      </c>
      <c r="B40" s="8">
        <f>Scenario!F17</f>
        <v>9</v>
      </c>
      <c r="C40" s="8">
        <f>Scenario!G17</f>
        <v>7</v>
      </c>
      <c r="D40" s="8">
        <f>Scenario!H17</f>
        <v>2</v>
      </c>
      <c r="E40" s="8">
        <f>Scenario!I17</f>
        <v>0</v>
      </c>
      <c r="F40" s="8">
        <f>Scenario!J17</f>
        <v>0</v>
      </c>
      <c r="G40" s="8">
        <f>ROUND(Scenario!L17, 2)</f>
        <v>0.78</v>
      </c>
    </row>
    <row r="41" spans="1:7" ht="27.75" customHeight="1" x14ac:dyDescent="0.25">
      <c r="A41" s="2" t="str">
        <f>Scenario!A18&amp;" - "&amp;Scenario!B18</f>
        <v>SC-15 - Accept, Reject theo đúng cấp phân quyền</v>
      </c>
      <c r="B41" s="8">
        <f>Scenario!F18</f>
        <v>3</v>
      </c>
      <c r="C41" s="8">
        <f>Scenario!G18</f>
        <v>3</v>
      </c>
      <c r="D41" s="8">
        <f>Scenario!H18</f>
        <v>0</v>
      </c>
      <c r="E41" s="8">
        <f>Scenario!I18</f>
        <v>0</v>
      </c>
      <c r="F41" s="8">
        <f>Scenario!J18</f>
        <v>0</v>
      </c>
      <c r="G41" s="8">
        <f>ROUND(Scenario!L18, 2)</f>
        <v>1</v>
      </c>
    </row>
    <row r="42" spans="1:7" ht="27.75" customHeight="1" x14ac:dyDescent="0.25">
      <c r="A42" s="2" t="str">
        <f>Scenario!A19&amp;" - "&amp;Scenario!B19</f>
        <v>SC-16 - Bulk action theo đúng cấp phân quyền</v>
      </c>
      <c r="B42" s="8">
        <f>Scenario!F19</f>
        <v>3</v>
      </c>
      <c r="C42" s="8">
        <f>Scenario!G19</f>
        <v>1</v>
      </c>
      <c r="D42" s="8">
        <f>Scenario!H19</f>
        <v>2</v>
      </c>
      <c r="E42" s="8">
        <f>Scenario!I19</f>
        <v>0</v>
      </c>
      <c r="F42" s="8">
        <f>Scenario!J19</f>
        <v>0</v>
      </c>
      <c r="G42" s="8">
        <f>ROUND(Scenario!L19, 2)</f>
        <v>0.33</v>
      </c>
    </row>
    <row r="43" spans="1:7" ht="27.75" customHeight="1" x14ac:dyDescent="0.25">
      <c r="A43" s="2" t="str">
        <f>Scenario!A20&amp;" - "&amp;Scenario!B20</f>
        <v>SC-17 - Luồng end-to-end</v>
      </c>
      <c r="B43" s="8">
        <f>Scenario!F20</f>
        <v>5</v>
      </c>
      <c r="C43" s="8">
        <f>Scenario!G20</f>
        <v>5</v>
      </c>
      <c r="D43" s="8">
        <f>Scenario!H20</f>
        <v>0</v>
      </c>
      <c r="E43" s="8">
        <f>Scenario!I20</f>
        <v>0</v>
      </c>
      <c r="F43" s="8">
        <f>Scenario!J20</f>
        <v>0</v>
      </c>
      <c r="G43" s="8">
        <f>ROUND(Scenario!L20, 2)</f>
        <v>1</v>
      </c>
    </row>
  </sheetData>
  <mergeCells count="7">
    <mergeCell ref="B4:G4"/>
    <mergeCell ref="D22:F22"/>
    <mergeCell ref="D17:F17"/>
    <mergeCell ref="D18:F18"/>
    <mergeCell ref="D19:F19"/>
    <mergeCell ref="D20:F20"/>
    <mergeCell ref="D21:F21"/>
  </mergeCells>
  <pageMargins left="0.75" right="0.75" top="1" bottom="1" header="0.511811023622047" footer="0.511811023622047"/>
  <pageSetup paperSize="9" scale="50" fitToHeight="0"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80"/>
  <sheetViews>
    <sheetView tabSelected="1" zoomScaleNormal="100" workbookViewId="0">
      <pane ySplit="2" topLeftCell="A60" activePane="bottomLeft" state="frozen"/>
      <selection activeCell="C19" sqref="C19"/>
      <selection pane="bottomLeft" activeCell="B49" sqref="B49"/>
    </sheetView>
  </sheetViews>
  <sheetFormatPr defaultColWidth="8.7109375" defaultRowHeight="15" x14ac:dyDescent="0.25"/>
  <cols>
    <col min="1" max="1" width="30" customWidth="1"/>
    <col min="2" max="4" width="44" customWidth="1"/>
  </cols>
  <sheetData>
    <row r="1" spans="1:4" ht="18" x14ac:dyDescent="0.25">
      <c r="A1" s="3" t="s">
        <v>32</v>
      </c>
    </row>
    <row r="2" spans="1:4" x14ac:dyDescent="0.25">
      <c r="A2" s="4"/>
    </row>
    <row r="3" spans="1:4" x14ac:dyDescent="0.25">
      <c r="A3" s="5" t="s">
        <v>33</v>
      </c>
    </row>
    <row r="4" spans="1:4" x14ac:dyDescent="0.25">
      <c r="A4" s="12" t="s">
        <v>34</v>
      </c>
      <c r="B4" s="12" t="s">
        <v>35</v>
      </c>
    </row>
    <row r="5" spans="1:4" ht="51" x14ac:dyDescent="0.25">
      <c r="A5" s="2" t="s">
        <v>36</v>
      </c>
      <c r="B5" s="13" t="s">
        <v>37</v>
      </c>
    </row>
    <row r="6" spans="1:4" ht="25.5" x14ac:dyDescent="0.25">
      <c r="A6" s="2" t="s">
        <v>38</v>
      </c>
      <c r="B6" s="13" t="s">
        <v>39</v>
      </c>
    </row>
    <row r="7" spans="1:4" ht="38.25" x14ac:dyDescent="0.25">
      <c r="A7" s="2" t="s">
        <v>40</v>
      </c>
      <c r="B7" s="13" t="s">
        <v>777</v>
      </c>
    </row>
    <row r="8" spans="1:4" x14ac:dyDescent="0.25">
      <c r="A8" s="2" t="s">
        <v>41</v>
      </c>
      <c r="B8" s="2" t="s">
        <v>572</v>
      </c>
    </row>
    <row r="10" spans="1:4" x14ac:dyDescent="0.25">
      <c r="A10" s="5" t="s">
        <v>42</v>
      </c>
    </row>
    <row r="11" spans="1:4" x14ac:dyDescent="0.25">
      <c r="A11" s="12" t="s">
        <v>43</v>
      </c>
      <c r="B11" s="12" t="s">
        <v>44</v>
      </c>
      <c r="C11" s="12" t="s">
        <v>45</v>
      </c>
      <c r="D11" s="12" t="s">
        <v>46</v>
      </c>
    </row>
    <row r="12" spans="1:4" x14ac:dyDescent="0.25">
      <c r="A12" s="2" t="s">
        <v>47</v>
      </c>
      <c r="B12" s="2" t="s">
        <v>48</v>
      </c>
      <c r="C12" s="2" t="s">
        <v>49</v>
      </c>
      <c r="D12" s="2"/>
    </row>
    <row r="13" spans="1:4" x14ac:dyDescent="0.25">
      <c r="A13" s="2" t="s">
        <v>51</v>
      </c>
      <c r="B13" s="2" t="s">
        <v>52</v>
      </c>
      <c r="C13" s="2" t="s">
        <v>53</v>
      </c>
      <c r="D13" s="2"/>
    </row>
    <row r="14" spans="1:4" x14ac:dyDescent="0.25">
      <c r="A14" s="2" t="s">
        <v>54</v>
      </c>
      <c r="B14" s="2" t="s">
        <v>55</v>
      </c>
      <c r="C14" s="13" t="s">
        <v>56</v>
      </c>
      <c r="D14" s="2"/>
    </row>
    <row r="15" spans="1:4" x14ac:dyDescent="0.25">
      <c r="A15" s="2" t="s">
        <v>734</v>
      </c>
      <c r="B15" s="2" t="s">
        <v>57</v>
      </c>
      <c r="C15" s="2" t="s">
        <v>58</v>
      </c>
      <c r="D15" s="2"/>
    </row>
    <row r="16" spans="1:4" x14ac:dyDescent="0.25">
      <c r="A16" s="2" t="s">
        <v>59</v>
      </c>
      <c r="B16" s="2" t="s">
        <v>735</v>
      </c>
      <c r="C16" s="2" t="s">
        <v>60</v>
      </c>
      <c r="D16" s="2"/>
    </row>
    <row r="18" spans="1:4" x14ac:dyDescent="0.25">
      <c r="A18" s="5" t="s">
        <v>61</v>
      </c>
    </row>
    <row r="19" spans="1:4" x14ac:dyDescent="0.25">
      <c r="A19" s="12" t="s">
        <v>62</v>
      </c>
      <c r="B19" s="12" t="s">
        <v>63</v>
      </c>
      <c r="C19" s="12" t="s">
        <v>64</v>
      </c>
      <c r="D19" s="12" t="s">
        <v>46</v>
      </c>
    </row>
    <row r="20" spans="1:4" ht="25.5" x14ac:dyDescent="0.25">
      <c r="A20" s="2" t="s">
        <v>739</v>
      </c>
      <c r="B20" s="2" t="s">
        <v>722</v>
      </c>
      <c r="C20" s="2" t="s">
        <v>65</v>
      </c>
      <c r="D20" s="2" t="s">
        <v>66</v>
      </c>
    </row>
    <row r="21" spans="1:4" x14ac:dyDescent="0.25">
      <c r="A21" s="2" t="s">
        <v>67</v>
      </c>
      <c r="B21" s="2" t="s">
        <v>722</v>
      </c>
      <c r="C21" s="2" t="s">
        <v>65</v>
      </c>
      <c r="D21" s="2" t="s">
        <v>66</v>
      </c>
    </row>
    <row r="22" spans="1:4" x14ac:dyDescent="0.25">
      <c r="A22" s="2" t="s">
        <v>68</v>
      </c>
      <c r="B22" s="2" t="s">
        <v>69</v>
      </c>
      <c r="C22" s="2" t="s">
        <v>65</v>
      </c>
      <c r="D22" s="2" t="s">
        <v>70</v>
      </c>
    </row>
    <row r="23" spans="1:4" ht="25.5" x14ac:dyDescent="0.25">
      <c r="A23" s="2" t="s">
        <v>736</v>
      </c>
      <c r="B23" s="2" t="s">
        <v>69</v>
      </c>
      <c r="C23" s="2" t="s">
        <v>65</v>
      </c>
      <c r="D23" s="2" t="s">
        <v>71</v>
      </c>
    </row>
    <row r="24" spans="1:4" x14ac:dyDescent="0.25">
      <c r="A24" s="2" t="s">
        <v>72</v>
      </c>
      <c r="B24" s="2" t="s">
        <v>722</v>
      </c>
      <c r="C24" s="2" t="s">
        <v>73</v>
      </c>
      <c r="D24" s="2" t="s">
        <v>66</v>
      </c>
    </row>
    <row r="25" spans="1:4" x14ac:dyDescent="0.25">
      <c r="A25" s="2" t="s">
        <v>74</v>
      </c>
      <c r="B25" s="2" t="s">
        <v>69</v>
      </c>
      <c r="C25" s="2" t="s">
        <v>65</v>
      </c>
      <c r="D25" s="2" t="s">
        <v>75</v>
      </c>
    </row>
    <row r="26" spans="1:4" x14ac:dyDescent="0.25">
      <c r="A26" s="2" t="s">
        <v>755</v>
      </c>
      <c r="B26" s="2" t="s">
        <v>722</v>
      </c>
      <c r="C26" s="2" t="s">
        <v>65</v>
      </c>
      <c r="D26" s="2" t="s">
        <v>737</v>
      </c>
    </row>
    <row r="27" spans="1:4" ht="25.5" x14ac:dyDescent="0.25">
      <c r="A27" s="2" t="s">
        <v>76</v>
      </c>
      <c r="B27" s="2" t="s">
        <v>69</v>
      </c>
      <c r="C27" s="2" t="s">
        <v>65</v>
      </c>
      <c r="D27" s="2" t="s">
        <v>77</v>
      </c>
    </row>
    <row r="28" spans="1:4" x14ac:dyDescent="0.25">
      <c r="A28" s="2" t="s">
        <v>78</v>
      </c>
      <c r="B28" s="2" t="s">
        <v>722</v>
      </c>
      <c r="C28" s="2" t="s">
        <v>744</v>
      </c>
      <c r="D28" s="2" t="s">
        <v>66</v>
      </c>
    </row>
    <row r="29" spans="1:4" ht="25.5" x14ac:dyDescent="0.25">
      <c r="A29" s="2" t="s">
        <v>79</v>
      </c>
      <c r="B29" s="2" t="s">
        <v>722</v>
      </c>
      <c r="C29" s="2" t="s">
        <v>65</v>
      </c>
      <c r="D29" s="2" t="s">
        <v>80</v>
      </c>
    </row>
    <row r="30" spans="1:4" ht="25.5" x14ac:dyDescent="0.25">
      <c r="A30" s="2" t="s">
        <v>81</v>
      </c>
      <c r="B30" s="2" t="s">
        <v>69</v>
      </c>
      <c r="C30" s="2" t="s">
        <v>745</v>
      </c>
      <c r="D30" s="2" t="s">
        <v>723</v>
      </c>
    </row>
    <row r="31" spans="1:4" ht="25.5" x14ac:dyDescent="0.25">
      <c r="A31" s="2" t="s">
        <v>740</v>
      </c>
      <c r="B31" s="2" t="s">
        <v>69</v>
      </c>
      <c r="C31" s="2" t="s">
        <v>82</v>
      </c>
      <c r="D31" s="2" t="s">
        <v>83</v>
      </c>
    </row>
    <row r="32" spans="1:4" x14ac:dyDescent="0.25">
      <c r="A32" s="2" t="s">
        <v>84</v>
      </c>
      <c r="B32" s="2" t="s">
        <v>69</v>
      </c>
      <c r="C32" s="2" t="s">
        <v>65</v>
      </c>
      <c r="D32" s="2" t="s">
        <v>85</v>
      </c>
    </row>
    <row r="33" spans="1:4" ht="25.5" x14ac:dyDescent="0.25">
      <c r="A33" s="2" t="s">
        <v>86</v>
      </c>
      <c r="B33" s="2" t="s">
        <v>69</v>
      </c>
      <c r="C33" s="2" t="s">
        <v>65</v>
      </c>
      <c r="D33" s="2" t="s">
        <v>87</v>
      </c>
    </row>
    <row r="34" spans="1:4" x14ac:dyDescent="0.25">
      <c r="A34" s="2" t="s">
        <v>88</v>
      </c>
      <c r="B34" s="2" t="s">
        <v>69</v>
      </c>
      <c r="C34" s="2" t="s">
        <v>476</v>
      </c>
      <c r="D34" s="2" t="s">
        <v>738</v>
      </c>
    </row>
    <row r="35" spans="1:4" x14ac:dyDescent="0.25">
      <c r="A35" s="2" t="s">
        <v>89</v>
      </c>
      <c r="B35" s="2"/>
      <c r="C35" s="2"/>
      <c r="D35" s="2" t="s">
        <v>90</v>
      </c>
    </row>
    <row r="37" spans="1:4" x14ac:dyDescent="0.25">
      <c r="A37" s="5" t="s">
        <v>91</v>
      </c>
    </row>
    <row r="38" spans="1:4" x14ac:dyDescent="0.25">
      <c r="A38" s="12" t="s">
        <v>92</v>
      </c>
      <c r="B38" s="12" t="s">
        <v>93</v>
      </c>
      <c r="C38" s="12" t="s">
        <v>94</v>
      </c>
      <c r="D38" s="12" t="s">
        <v>95</v>
      </c>
    </row>
    <row r="39" spans="1:4" x14ac:dyDescent="0.25">
      <c r="A39" s="2" t="str">
        <f>"BR-"&amp;TEXT(ROW()-39,"00")</f>
        <v>BR-00</v>
      </c>
      <c r="B39" s="2" t="s">
        <v>96</v>
      </c>
      <c r="C39" s="2" t="s">
        <v>97</v>
      </c>
      <c r="D39" s="2"/>
    </row>
    <row r="40" spans="1:4" x14ac:dyDescent="0.25">
      <c r="A40" s="2" t="str">
        <f t="shared" ref="A40:A65" si="0">"BR-"&amp;TEXT(ROW()-39,"00")</f>
        <v>BR-01</v>
      </c>
      <c r="B40" s="2" t="s">
        <v>50</v>
      </c>
      <c r="C40" s="2" t="s">
        <v>97</v>
      </c>
      <c r="D40" s="2"/>
    </row>
    <row r="41" spans="1:4" ht="25.5" x14ac:dyDescent="0.25">
      <c r="A41" s="2" t="str">
        <f t="shared" si="0"/>
        <v>BR-02</v>
      </c>
      <c r="B41" s="2" t="s">
        <v>751</v>
      </c>
      <c r="C41" s="2" t="s">
        <v>97</v>
      </c>
      <c r="D41" s="2"/>
    </row>
    <row r="42" spans="1:4" ht="51" x14ac:dyDescent="0.25">
      <c r="A42" s="2" t="str">
        <f t="shared" si="0"/>
        <v>BR-03</v>
      </c>
      <c r="B42" s="2" t="s">
        <v>749</v>
      </c>
      <c r="C42" s="2" t="s">
        <v>97</v>
      </c>
      <c r="D42" s="2"/>
    </row>
    <row r="43" spans="1:4" ht="38.25" x14ac:dyDescent="0.25">
      <c r="A43" s="2" t="str">
        <f t="shared" si="0"/>
        <v>BR-04</v>
      </c>
      <c r="B43" s="2" t="s">
        <v>752</v>
      </c>
      <c r="C43" s="2" t="s">
        <v>97</v>
      </c>
      <c r="D43" s="2"/>
    </row>
    <row r="44" spans="1:4" ht="25.5" x14ac:dyDescent="0.25">
      <c r="A44" s="2" t="str">
        <f t="shared" si="0"/>
        <v>BR-05</v>
      </c>
      <c r="B44" s="2" t="s">
        <v>741</v>
      </c>
      <c r="C44" s="2" t="s">
        <v>97</v>
      </c>
      <c r="D44" s="2"/>
    </row>
    <row r="45" spans="1:4" ht="51" x14ac:dyDescent="0.25">
      <c r="A45" s="2" t="str">
        <f t="shared" si="0"/>
        <v>BR-06</v>
      </c>
      <c r="B45" s="2" t="s">
        <v>747</v>
      </c>
      <c r="C45" s="2" t="s">
        <v>97</v>
      </c>
      <c r="D45" s="2"/>
    </row>
    <row r="46" spans="1:4" ht="114.75" x14ac:dyDescent="0.25">
      <c r="A46" s="2" t="str">
        <f t="shared" si="0"/>
        <v>BR-07</v>
      </c>
      <c r="B46" s="2" t="s">
        <v>748</v>
      </c>
      <c r="C46" s="2" t="s">
        <v>97</v>
      </c>
      <c r="D46" s="2"/>
    </row>
    <row r="47" spans="1:4" ht="38.25" x14ac:dyDescent="0.25">
      <c r="A47" s="2" t="str">
        <f t="shared" si="0"/>
        <v>BR-08</v>
      </c>
      <c r="B47" s="2" t="s">
        <v>750</v>
      </c>
      <c r="C47" s="2"/>
      <c r="D47" s="2"/>
    </row>
    <row r="48" spans="1:4" x14ac:dyDescent="0.25">
      <c r="A48" s="2" t="str">
        <f t="shared" si="0"/>
        <v>BR-09</v>
      </c>
      <c r="B48" s="2" t="s">
        <v>753</v>
      </c>
      <c r="C48" s="2" t="s">
        <v>97</v>
      </c>
      <c r="D48" s="2"/>
    </row>
    <row r="49" spans="1:4" ht="25.5" x14ac:dyDescent="0.25">
      <c r="A49" s="2" t="str">
        <f t="shared" si="0"/>
        <v>BR-10</v>
      </c>
      <c r="B49" s="2" t="s">
        <v>743</v>
      </c>
      <c r="C49" s="2" t="s">
        <v>97</v>
      </c>
      <c r="D49" s="2"/>
    </row>
    <row r="50" spans="1:4" ht="38.25" x14ac:dyDescent="0.25">
      <c r="A50" s="2" t="str">
        <f t="shared" si="0"/>
        <v>BR-11</v>
      </c>
      <c r="B50" s="2" t="s">
        <v>742</v>
      </c>
      <c r="C50" s="2" t="s">
        <v>97</v>
      </c>
      <c r="D50" s="2"/>
    </row>
    <row r="51" spans="1:4" ht="38.25" x14ac:dyDescent="0.25">
      <c r="A51" s="2" t="str">
        <f t="shared" si="0"/>
        <v>BR-12</v>
      </c>
      <c r="B51" s="2" t="s">
        <v>746</v>
      </c>
      <c r="C51" s="2" t="s">
        <v>97</v>
      </c>
      <c r="D51" s="2"/>
    </row>
    <row r="52" spans="1:4" x14ac:dyDescent="0.25">
      <c r="A52" s="2" t="str">
        <f t="shared" si="0"/>
        <v>BR-13</v>
      </c>
      <c r="B52" s="2" t="s">
        <v>754</v>
      </c>
      <c r="C52" s="2" t="s">
        <v>97</v>
      </c>
      <c r="D52" s="2"/>
    </row>
    <row r="53" spans="1:4" ht="38.25" x14ac:dyDescent="0.25">
      <c r="A53" s="2" t="str">
        <f t="shared" si="0"/>
        <v>BR-14</v>
      </c>
      <c r="B53" s="2" t="s">
        <v>99</v>
      </c>
      <c r="C53" s="2" t="s">
        <v>97</v>
      </c>
      <c r="D53" s="2"/>
    </row>
    <row r="54" spans="1:4" x14ac:dyDescent="0.25">
      <c r="A54" s="2" t="str">
        <f t="shared" si="0"/>
        <v>BR-15</v>
      </c>
      <c r="B54" s="2" t="s">
        <v>101</v>
      </c>
      <c r="C54" s="2" t="s">
        <v>97</v>
      </c>
      <c r="D54" s="2"/>
    </row>
    <row r="55" spans="1:4" ht="25.5" x14ac:dyDescent="0.25">
      <c r="A55" s="2" t="str">
        <f t="shared" si="0"/>
        <v>BR-16</v>
      </c>
      <c r="B55" s="2" t="s">
        <v>98</v>
      </c>
      <c r="C55" s="2" t="s">
        <v>97</v>
      </c>
      <c r="D55" s="2"/>
    </row>
    <row r="56" spans="1:4" ht="25.5" x14ac:dyDescent="0.25">
      <c r="A56" s="2" t="str">
        <f t="shared" si="0"/>
        <v>BR-17</v>
      </c>
      <c r="B56" s="2" t="s">
        <v>100</v>
      </c>
      <c r="C56" s="2" t="s">
        <v>97</v>
      </c>
      <c r="D56" s="2"/>
    </row>
    <row r="57" spans="1:4" ht="63.75" x14ac:dyDescent="0.25">
      <c r="A57" s="2" t="str">
        <f t="shared" si="0"/>
        <v>BR-18</v>
      </c>
      <c r="B57" s="2" t="s">
        <v>756</v>
      </c>
      <c r="C57" s="2" t="s">
        <v>97</v>
      </c>
      <c r="D57" s="2"/>
    </row>
    <row r="58" spans="1:4" ht="30" x14ac:dyDescent="0.25">
      <c r="A58" s="2" t="str">
        <f t="shared" si="0"/>
        <v>BR-19</v>
      </c>
      <c r="B58" s="2" t="s">
        <v>757</v>
      </c>
      <c r="C58" s="2" t="s">
        <v>97</v>
      </c>
      <c r="D58" s="2"/>
    </row>
    <row r="59" spans="1:4" ht="25.5" x14ac:dyDescent="0.25">
      <c r="A59" s="2" t="str">
        <f t="shared" si="0"/>
        <v>BR-20</v>
      </c>
      <c r="B59" s="2" t="s">
        <v>758</v>
      </c>
      <c r="C59" s="2" t="s">
        <v>97</v>
      </c>
      <c r="D59" s="2"/>
    </row>
    <row r="60" spans="1:4" ht="63.75" x14ac:dyDescent="0.25">
      <c r="A60" s="2" t="str">
        <f t="shared" si="0"/>
        <v>BR-21</v>
      </c>
      <c r="B60" s="2" t="s">
        <v>759</v>
      </c>
      <c r="C60" s="2" t="s">
        <v>97</v>
      </c>
      <c r="D60" s="2"/>
    </row>
    <row r="61" spans="1:4" ht="25.5" x14ac:dyDescent="0.25">
      <c r="A61" s="2" t="str">
        <f t="shared" si="0"/>
        <v>BR-22</v>
      </c>
      <c r="B61" s="2" t="s">
        <v>760</v>
      </c>
      <c r="C61" s="2" t="s">
        <v>97</v>
      </c>
      <c r="D61" s="2"/>
    </row>
    <row r="62" spans="1:4" ht="38.25" x14ac:dyDescent="0.25">
      <c r="A62" s="2" t="str">
        <f t="shared" si="0"/>
        <v>BR-23</v>
      </c>
      <c r="B62" s="2" t="s">
        <v>761</v>
      </c>
      <c r="C62" s="2" t="s">
        <v>97</v>
      </c>
      <c r="D62" s="2"/>
    </row>
    <row r="63" spans="1:4" x14ac:dyDescent="0.25">
      <c r="A63" s="2" t="str">
        <f t="shared" si="0"/>
        <v>BR-24</v>
      </c>
      <c r="B63" s="2" t="s">
        <v>762</v>
      </c>
      <c r="C63" s="2" t="s">
        <v>97</v>
      </c>
      <c r="D63" s="2"/>
    </row>
    <row r="64" spans="1:4" x14ac:dyDescent="0.25">
      <c r="A64" s="2" t="str">
        <f t="shared" si="0"/>
        <v>BR-25</v>
      </c>
      <c r="B64" s="2" t="s">
        <v>763</v>
      </c>
      <c r="C64" s="2" t="s">
        <v>97</v>
      </c>
      <c r="D64" s="2"/>
    </row>
    <row r="65" spans="1:4" ht="51" x14ac:dyDescent="0.25">
      <c r="A65" s="2" t="str">
        <f t="shared" si="0"/>
        <v>BR-26</v>
      </c>
      <c r="B65" s="2" t="s">
        <v>764</v>
      </c>
      <c r="C65" s="2" t="s">
        <v>97</v>
      </c>
      <c r="D65" s="2"/>
    </row>
    <row r="66" spans="1:4" x14ac:dyDescent="0.25">
      <c r="A66" s="1"/>
      <c r="B66" s="1"/>
    </row>
    <row r="67" spans="1:4" x14ac:dyDescent="0.25">
      <c r="A67" s="5" t="s">
        <v>102</v>
      </c>
    </row>
    <row r="68" spans="1:4" x14ac:dyDescent="0.25">
      <c r="A68" s="12" t="s">
        <v>103</v>
      </c>
      <c r="B68" s="12" t="s">
        <v>104</v>
      </c>
      <c r="C68" s="31" t="s">
        <v>46</v>
      </c>
      <c r="D68" s="32"/>
    </row>
    <row r="69" spans="1:4" x14ac:dyDescent="0.25">
      <c r="A69" s="13" t="s">
        <v>728</v>
      </c>
      <c r="B69" s="2" t="s">
        <v>724</v>
      </c>
      <c r="C69" s="28"/>
      <c r="D69" s="29"/>
    </row>
    <row r="70" spans="1:4" x14ac:dyDescent="0.25">
      <c r="A70" s="2" t="s">
        <v>297</v>
      </c>
      <c r="B70" s="13" t="s">
        <v>726</v>
      </c>
      <c r="C70" s="28"/>
      <c r="D70" s="29"/>
    </row>
    <row r="71" spans="1:4" ht="25.5" x14ac:dyDescent="0.25">
      <c r="A71" s="13" t="s">
        <v>731</v>
      </c>
      <c r="B71" s="13" t="s">
        <v>727</v>
      </c>
      <c r="C71" s="33" t="s">
        <v>732</v>
      </c>
      <c r="D71" s="34"/>
    </row>
    <row r="72" spans="1:4" x14ac:dyDescent="0.25">
      <c r="A72" s="13" t="s">
        <v>555</v>
      </c>
      <c r="B72" s="13" t="s">
        <v>733</v>
      </c>
      <c r="C72" s="28"/>
      <c r="D72" s="29"/>
    </row>
    <row r="73" spans="1:4" x14ac:dyDescent="0.25">
      <c r="A73" s="13" t="s">
        <v>725</v>
      </c>
      <c r="B73" s="13" t="s">
        <v>729</v>
      </c>
      <c r="C73" s="28"/>
      <c r="D73" s="29"/>
    </row>
    <row r="74" spans="1:4" x14ac:dyDescent="0.25">
      <c r="A74" s="13" t="s">
        <v>730</v>
      </c>
      <c r="B74" s="13" t="s">
        <v>730</v>
      </c>
      <c r="C74" s="28"/>
      <c r="D74" s="29"/>
    </row>
    <row r="75" spans="1:4" ht="42" customHeight="1" x14ac:dyDescent="0.25">
      <c r="A75" s="5"/>
      <c r="B75" s="30"/>
      <c r="C75" s="30"/>
      <c r="D75" s="30"/>
    </row>
    <row r="76" spans="1:4" ht="42" customHeight="1" x14ac:dyDescent="0.25">
      <c r="A76" s="5"/>
      <c r="B76" s="30"/>
      <c r="C76" s="30"/>
      <c r="D76" s="30"/>
    </row>
    <row r="77" spans="1:4" ht="42" customHeight="1" x14ac:dyDescent="0.25">
      <c r="A77" s="5"/>
      <c r="B77" s="30"/>
      <c r="C77" s="30"/>
      <c r="D77" s="30"/>
    </row>
    <row r="78" spans="1:4" ht="42" customHeight="1" x14ac:dyDescent="0.25">
      <c r="A78" s="5"/>
      <c r="B78" s="30"/>
      <c r="C78" s="30"/>
      <c r="D78" s="30"/>
    </row>
    <row r="79" spans="1:4" ht="42" customHeight="1" x14ac:dyDescent="0.25">
      <c r="A79" s="5"/>
      <c r="B79" s="30"/>
      <c r="C79" s="30"/>
      <c r="D79" s="30"/>
    </row>
    <row r="80" spans="1:4" ht="42" customHeight="1" x14ac:dyDescent="0.25">
      <c r="A80" s="5"/>
      <c r="B80" s="30"/>
      <c r="C80" s="30"/>
      <c r="D80" s="30"/>
    </row>
  </sheetData>
  <mergeCells count="13">
    <mergeCell ref="C68:D68"/>
    <mergeCell ref="C71:D71"/>
    <mergeCell ref="C69:D69"/>
    <mergeCell ref="C70:D70"/>
    <mergeCell ref="C72:D72"/>
    <mergeCell ref="C73:D73"/>
    <mergeCell ref="C74:D74"/>
    <mergeCell ref="B79:D79"/>
    <mergeCell ref="B80:D80"/>
    <mergeCell ref="B75:D75"/>
    <mergeCell ref="B76:D76"/>
    <mergeCell ref="B77:D77"/>
    <mergeCell ref="B78:D78"/>
  </mergeCells>
  <pageMargins left="0.75" right="0.75" top="1" bottom="1" header="0.511811023622047" footer="0.511811023622047"/>
  <pageSetup paperSize="9" scale="80" fitToHeight="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21"/>
  <sheetViews>
    <sheetView zoomScaleNormal="100" workbookViewId="0">
      <pane ySplit="3" topLeftCell="A13" activePane="bottomLeft" state="frozen"/>
      <selection activeCell="C19" sqref="C19"/>
      <selection pane="bottomLeft" activeCell="C19" sqref="C19"/>
    </sheetView>
  </sheetViews>
  <sheetFormatPr defaultColWidth="8.7109375" defaultRowHeight="15" x14ac:dyDescent="0.25"/>
  <cols>
    <col min="1" max="1" width="12" customWidth="1"/>
    <col min="2" max="2" width="36" customWidth="1"/>
    <col min="3" max="3" width="50" customWidth="1"/>
    <col min="4" max="4" width="11" customWidth="1"/>
    <col min="5" max="5" width="38" customWidth="1"/>
    <col min="6" max="8" width="8" customWidth="1"/>
    <col min="9" max="10" width="9" customWidth="1"/>
    <col min="11" max="11" width="11" customWidth="1"/>
    <col min="12" max="12" width="14" customWidth="1"/>
  </cols>
  <sheetData>
    <row r="1" spans="1:12" ht="18" x14ac:dyDescent="0.25">
      <c r="A1" s="3" t="s">
        <v>105</v>
      </c>
    </row>
    <row r="2" spans="1:12" x14ac:dyDescent="0.25">
      <c r="A2" s="4" t="s">
        <v>967</v>
      </c>
    </row>
    <row r="3" spans="1:12" ht="30" customHeight="1" x14ac:dyDescent="0.25">
      <c r="A3" s="12" t="s">
        <v>106</v>
      </c>
      <c r="B3" s="12" t="s">
        <v>107</v>
      </c>
      <c r="C3" s="12" t="s">
        <v>108</v>
      </c>
      <c r="D3" s="12" t="s">
        <v>109</v>
      </c>
      <c r="E3" s="12" t="s">
        <v>110</v>
      </c>
      <c r="F3" s="12" t="s">
        <v>24</v>
      </c>
      <c r="G3" s="12" t="s">
        <v>6</v>
      </c>
      <c r="H3" s="12" t="s">
        <v>7</v>
      </c>
      <c r="I3" s="12" t="s">
        <v>8</v>
      </c>
      <c r="J3" s="12" t="s">
        <v>9</v>
      </c>
      <c r="K3" s="12" t="s">
        <v>111</v>
      </c>
      <c r="L3" s="12" t="s">
        <v>112</v>
      </c>
    </row>
    <row r="4" spans="1:12" ht="42" customHeight="1" x14ac:dyDescent="0.25">
      <c r="A4" s="13" t="s">
        <v>113</v>
      </c>
      <c r="B4" s="2" t="s">
        <v>114</v>
      </c>
      <c r="C4" s="2" t="s">
        <v>477</v>
      </c>
      <c r="D4" s="2" t="s">
        <v>115</v>
      </c>
      <c r="E4" s="2" t="s">
        <v>116</v>
      </c>
      <c r="F4" s="8">
        <f>COUNTIF('Test Case'!$B$4:$B$499,A4)</f>
        <v>7</v>
      </c>
      <c r="G4" s="8">
        <f>COUNTIFS('Test Case'!$B$4:$B$499,A4,'Test Case'!$L$4:$L$499,"Pass")</f>
        <v>7</v>
      </c>
      <c r="H4" s="8">
        <f>COUNTIFS('Test Case'!$B$4:$B$499,A4,'Test Case'!$L$4:$L$499,"Fail")</f>
        <v>0</v>
      </c>
      <c r="I4" s="8">
        <f>COUNTIFS('Test Case'!$B$4:$B$499,A4,'Test Case'!$L$4:$L$499,"Blocked")</f>
        <v>0</v>
      </c>
      <c r="J4" s="8">
        <f>COUNTIFS('Test Case'!$B$4:$B$499,A4,'Test Case'!$L$4:$L$499,"Not Run")</f>
        <v>0</v>
      </c>
      <c r="K4" s="8">
        <f t="shared" ref="K4:K21" si="0">IF(F4=0,0,(G4+H4+I4)/F4)</f>
        <v>1</v>
      </c>
      <c r="L4" s="8">
        <f>ROUND(IF((G4+H4+I4)=0,0,G4/(G4+H4+I4)),2)</f>
        <v>1</v>
      </c>
    </row>
    <row r="5" spans="1:12" ht="42" customHeight="1" x14ac:dyDescent="0.25">
      <c r="A5" s="2" t="s">
        <v>117</v>
      </c>
      <c r="B5" s="2" t="s">
        <v>118</v>
      </c>
      <c r="C5" s="2" t="s">
        <v>604</v>
      </c>
      <c r="D5" s="2" t="s">
        <v>119</v>
      </c>
      <c r="E5" s="13" t="s">
        <v>624</v>
      </c>
      <c r="F5" s="8">
        <f>COUNTIF('Test Case'!$B$4:$B$499,A5)</f>
        <v>8</v>
      </c>
      <c r="G5" s="8">
        <f>COUNTIFS('Test Case'!$B$4:$B$499,A5,'Test Case'!$L$4:$L$499,"Pass")</f>
        <v>8</v>
      </c>
      <c r="H5" s="8">
        <f>COUNTIFS('Test Case'!$B$4:$B$499,A5,'Test Case'!$L$4:$L$499,"Fail")</f>
        <v>0</v>
      </c>
      <c r="I5" s="8">
        <f>COUNTIFS('Test Case'!$B$4:$B$499,A5,'Test Case'!$L$4:$L$499,"Blocked")</f>
        <v>0</v>
      </c>
      <c r="J5" s="8">
        <f>COUNTIFS('Test Case'!$B$4:$B$499,A5,'Test Case'!$L$4:$L$499,"Not Run")</f>
        <v>0</v>
      </c>
      <c r="K5" s="8">
        <f t="shared" si="0"/>
        <v>1</v>
      </c>
      <c r="L5" s="8">
        <f t="shared" ref="L5:L20" si="1">ROUND(IF((G5+H5+I5)=0,0,G5/(G5+H5+I5)),2)</f>
        <v>1</v>
      </c>
    </row>
    <row r="6" spans="1:12" ht="42" customHeight="1" x14ac:dyDescent="0.25">
      <c r="A6" s="2" t="s">
        <v>120</v>
      </c>
      <c r="B6" s="2" t="s">
        <v>121</v>
      </c>
      <c r="C6" s="2" t="s">
        <v>122</v>
      </c>
      <c r="D6" s="2" t="s">
        <v>119</v>
      </c>
      <c r="E6" s="13" t="s">
        <v>625</v>
      </c>
      <c r="F6" s="8">
        <f>COUNTIF('Test Case'!$B$4:$B$499,A6)</f>
        <v>10</v>
      </c>
      <c r="G6" s="8">
        <f>COUNTIFS('Test Case'!$B$4:$B$499,A6,'Test Case'!$L$4:$L$499,"Pass")</f>
        <v>10</v>
      </c>
      <c r="H6" s="8">
        <f>COUNTIFS('Test Case'!$B$4:$B$499,A6,'Test Case'!$L$4:$L$499,"Fail")</f>
        <v>0</v>
      </c>
      <c r="I6" s="8">
        <f>COUNTIFS('Test Case'!$B$4:$B$499,A6,'Test Case'!$L$4:$L$499,"Blocked")</f>
        <v>0</v>
      </c>
      <c r="J6" s="8">
        <f>COUNTIFS('Test Case'!$B$4:$B$499,A6,'Test Case'!$L$4:$L$499,"Not Run")</f>
        <v>0</v>
      </c>
      <c r="K6" s="8">
        <f t="shared" si="0"/>
        <v>1</v>
      </c>
      <c r="L6" s="8">
        <f t="shared" si="1"/>
        <v>1</v>
      </c>
    </row>
    <row r="7" spans="1:12" ht="42" customHeight="1" x14ac:dyDescent="0.25">
      <c r="A7" s="2" t="s">
        <v>123</v>
      </c>
      <c r="B7" s="2" t="s">
        <v>124</v>
      </c>
      <c r="C7" s="2" t="s">
        <v>125</v>
      </c>
      <c r="D7" s="2" t="s">
        <v>119</v>
      </c>
      <c r="E7" s="13" t="s">
        <v>626</v>
      </c>
      <c r="F7" s="8">
        <f>COUNTIF('Test Case'!$B$4:$B$499,A7)</f>
        <v>14</v>
      </c>
      <c r="G7" s="8">
        <f>COUNTIFS('Test Case'!$B$4:$B$499,A7,'Test Case'!$L$4:$L$499,"Pass")</f>
        <v>4</v>
      </c>
      <c r="H7" s="8">
        <f>COUNTIFS('Test Case'!$B$4:$B$499,A7,'Test Case'!$L$4:$L$499,"Fail")</f>
        <v>10</v>
      </c>
      <c r="I7" s="8">
        <f>COUNTIFS('Test Case'!$B$4:$B$499,A7,'Test Case'!$L$4:$L$499,"Blocked")</f>
        <v>0</v>
      </c>
      <c r="J7" s="8">
        <f>COUNTIFS('Test Case'!$B$4:$B$499,A7,'Test Case'!$L$4:$L$499,"Not Run")</f>
        <v>0</v>
      </c>
      <c r="K7" s="8">
        <f t="shared" si="0"/>
        <v>1</v>
      </c>
      <c r="L7" s="8">
        <f t="shared" si="1"/>
        <v>0.28999999999999998</v>
      </c>
    </row>
    <row r="8" spans="1:12" ht="42" customHeight="1" x14ac:dyDescent="0.25">
      <c r="A8" s="2" t="s">
        <v>126</v>
      </c>
      <c r="B8" s="2" t="s">
        <v>127</v>
      </c>
      <c r="C8" s="2" t="s">
        <v>603</v>
      </c>
      <c r="D8" s="2" t="s">
        <v>115</v>
      </c>
      <c r="E8" s="13" t="s">
        <v>627</v>
      </c>
      <c r="F8" s="8">
        <f>COUNTIF('Test Case'!$B$4:$B$499,A8)</f>
        <v>6</v>
      </c>
      <c r="G8" s="8">
        <f>COUNTIFS('Test Case'!$B$4:$B$499,A8,'Test Case'!$L$4:$L$499,"Pass")</f>
        <v>6</v>
      </c>
      <c r="H8" s="8">
        <f>COUNTIFS('Test Case'!$B$4:$B$499,A8,'Test Case'!$L$4:$L$499,"Fail")</f>
        <v>0</v>
      </c>
      <c r="I8" s="8">
        <f>COUNTIFS('Test Case'!$B$4:$B$499,A8,'Test Case'!$L$4:$L$499,"Blocked")</f>
        <v>0</v>
      </c>
      <c r="J8" s="8">
        <f>COUNTIFS('Test Case'!$B$4:$B$499,A8,'Test Case'!$L$4:$L$499,"Not Run")</f>
        <v>0</v>
      </c>
      <c r="K8" s="8">
        <f t="shared" si="0"/>
        <v>1</v>
      </c>
      <c r="L8" s="8">
        <f t="shared" si="1"/>
        <v>1</v>
      </c>
    </row>
    <row r="9" spans="1:12" ht="42" customHeight="1" x14ac:dyDescent="0.25">
      <c r="A9" s="2" t="s">
        <v>128</v>
      </c>
      <c r="B9" s="2" t="s">
        <v>129</v>
      </c>
      <c r="C9" s="2" t="s">
        <v>130</v>
      </c>
      <c r="D9" s="2" t="s">
        <v>119</v>
      </c>
      <c r="E9" s="13" t="s">
        <v>628</v>
      </c>
      <c r="F9" s="8">
        <f>COUNTIF('Test Case'!$B$4:$B$499,A9)</f>
        <v>1</v>
      </c>
      <c r="G9" s="8">
        <f>COUNTIFS('Test Case'!$B$4:$B$499,A9,'Test Case'!$L$4:$L$499,"Pass")</f>
        <v>1</v>
      </c>
      <c r="H9" s="8">
        <f>COUNTIFS('Test Case'!$B$4:$B$499,A9,'Test Case'!$L$4:$L$499,"Fail")</f>
        <v>0</v>
      </c>
      <c r="I9" s="8">
        <f>COUNTIFS('Test Case'!$B$4:$B$499,A9,'Test Case'!$L$4:$L$499,"Blocked")</f>
        <v>0</v>
      </c>
      <c r="J9" s="8">
        <f>COUNTIFS('Test Case'!$B$4:$B$499,A9,'Test Case'!$L$4:$L$499,"Not Run")</f>
        <v>0</v>
      </c>
      <c r="K9" s="8">
        <f t="shared" si="0"/>
        <v>1</v>
      </c>
      <c r="L9" s="8">
        <f t="shared" si="1"/>
        <v>1</v>
      </c>
    </row>
    <row r="10" spans="1:12" ht="42" customHeight="1" x14ac:dyDescent="0.25">
      <c r="A10" s="2" t="s">
        <v>131</v>
      </c>
      <c r="B10" s="2" t="s">
        <v>605</v>
      </c>
      <c r="C10" s="13" t="s">
        <v>614</v>
      </c>
      <c r="D10" s="2" t="s">
        <v>119</v>
      </c>
      <c r="E10" s="13" t="s">
        <v>629</v>
      </c>
      <c r="F10" s="8">
        <f>COUNTIF('Test Case'!$B$4:$B$499,A10)</f>
        <v>8</v>
      </c>
      <c r="G10" s="8">
        <f>COUNTIFS('Test Case'!$B$4:$B$499,A10,'Test Case'!$L$4:$L$499,"Pass")</f>
        <v>8</v>
      </c>
      <c r="H10" s="8">
        <f>COUNTIFS('Test Case'!$B$4:$B$499,A10,'Test Case'!$L$4:$L$499,"Fail")</f>
        <v>0</v>
      </c>
      <c r="I10" s="8">
        <f>COUNTIFS('Test Case'!$B$4:$B$499,A10,'Test Case'!$L$4:$L$499,"Blocked")</f>
        <v>0</v>
      </c>
      <c r="J10" s="8">
        <f>COUNTIFS('Test Case'!$B$4:$B$499,A10,'Test Case'!$L$4:$L$499,"Not Run")</f>
        <v>0</v>
      </c>
      <c r="K10" s="8">
        <f t="shared" si="0"/>
        <v>1</v>
      </c>
      <c r="L10" s="8">
        <f t="shared" si="1"/>
        <v>1</v>
      </c>
    </row>
    <row r="11" spans="1:12" ht="25.5" x14ac:dyDescent="0.25">
      <c r="A11" s="2" t="s">
        <v>132</v>
      </c>
      <c r="B11" s="13" t="s">
        <v>606</v>
      </c>
      <c r="C11" s="13" t="s">
        <v>769</v>
      </c>
      <c r="D11" s="2" t="s">
        <v>119</v>
      </c>
      <c r="E11" s="2" t="s">
        <v>620</v>
      </c>
      <c r="F11" s="8">
        <f>COUNTIF('Test Case'!$B$4:$B$499,A11)</f>
        <v>12</v>
      </c>
      <c r="G11" s="8">
        <f>COUNTIFS('Test Case'!$B$4:$B$499,A11,'Test Case'!$L$4:$L$499,"Pass")</f>
        <v>12</v>
      </c>
      <c r="H11" s="8">
        <f>COUNTIFS('Test Case'!$B$4:$B$499,A11,'Test Case'!$L$4:$L$499,"Fail")</f>
        <v>0</v>
      </c>
      <c r="I11" s="8">
        <f>COUNTIFS('Test Case'!$B$4:$B$499,A11,'Test Case'!$L$4:$L$499,"Blocked")</f>
        <v>0</v>
      </c>
      <c r="J11" s="8">
        <f>COUNTIFS('Test Case'!$B$4:$B$499,A11,'Test Case'!$L$4:$L$499,"Not Run")</f>
        <v>0</v>
      </c>
      <c r="K11" s="8">
        <f t="shared" si="0"/>
        <v>1</v>
      </c>
      <c r="L11" s="8">
        <f t="shared" si="1"/>
        <v>1</v>
      </c>
    </row>
    <row r="12" spans="1:12" ht="42" customHeight="1" x14ac:dyDescent="0.25">
      <c r="A12" s="2" t="s">
        <v>133</v>
      </c>
      <c r="B12" s="13" t="s">
        <v>600</v>
      </c>
      <c r="C12" s="13" t="s">
        <v>613</v>
      </c>
      <c r="D12" s="2" t="s">
        <v>119</v>
      </c>
      <c r="E12" s="2" t="s">
        <v>621</v>
      </c>
      <c r="F12" s="8">
        <f>COUNTIF('Test Case'!$B$4:$B$499,A12)</f>
        <v>6</v>
      </c>
      <c r="G12" s="8">
        <f>COUNTIFS('Test Case'!$B$4:$B$499,A12,'Test Case'!$L$4:$L$499,"Pass")</f>
        <v>6</v>
      </c>
      <c r="H12" s="8">
        <f>COUNTIFS('Test Case'!$B$4:$B$499,A12,'Test Case'!$L$4:$L$499,"Fail")</f>
        <v>0</v>
      </c>
      <c r="I12" s="8">
        <f>COUNTIFS('Test Case'!$B$4:$B$499,A12,'Test Case'!$L$4:$L$499,"Blocked")</f>
        <v>0</v>
      </c>
      <c r="J12" s="8">
        <f>COUNTIFS('Test Case'!$B$4:$B$499,A12,'Test Case'!$L$4:$L$499,"Not Run")</f>
        <v>0</v>
      </c>
      <c r="K12" s="8">
        <f t="shared" si="0"/>
        <v>1</v>
      </c>
      <c r="L12" s="8">
        <f t="shared" si="1"/>
        <v>1</v>
      </c>
    </row>
    <row r="13" spans="1:12" ht="25.5" x14ac:dyDescent="0.25">
      <c r="A13" s="2" t="s">
        <v>134</v>
      </c>
      <c r="B13" s="2" t="s">
        <v>765</v>
      </c>
      <c r="C13" s="2" t="s">
        <v>766</v>
      </c>
      <c r="D13" s="2" t="s">
        <v>119</v>
      </c>
      <c r="E13" s="13" t="s">
        <v>953</v>
      </c>
      <c r="F13" s="8">
        <f>COUNTIF('Test Case'!$B$4:$B$499,A13)</f>
        <v>15</v>
      </c>
      <c r="G13" s="8">
        <f>COUNTIFS('Test Case'!$B$4:$B$499,A13,'Test Case'!$L$4:$L$499,"Pass")</f>
        <v>14</v>
      </c>
      <c r="H13" s="8">
        <f>COUNTIFS('Test Case'!$B$4:$B$499,A13,'Test Case'!$L$4:$L$499,"Fail")</f>
        <v>1</v>
      </c>
      <c r="I13" s="8">
        <f>COUNTIFS('Test Case'!$B$4:$B$499,A13,'Test Case'!$L$4:$L$499,"Blocked")</f>
        <v>0</v>
      </c>
      <c r="J13" s="8">
        <f>COUNTIFS('Test Case'!$B$4:$B$499,A13,'Test Case'!$L$4:$L$499,"Not Run")</f>
        <v>0</v>
      </c>
      <c r="K13" s="8">
        <f t="shared" si="0"/>
        <v>1</v>
      </c>
      <c r="L13" s="8">
        <f t="shared" si="1"/>
        <v>0.93</v>
      </c>
    </row>
    <row r="14" spans="1:12" ht="38.25" x14ac:dyDescent="0.25">
      <c r="A14" s="2" t="s">
        <v>135</v>
      </c>
      <c r="B14" s="13" t="s">
        <v>607</v>
      </c>
      <c r="C14" s="13" t="s">
        <v>767</v>
      </c>
      <c r="D14" s="2" t="s">
        <v>115</v>
      </c>
      <c r="E14" s="13" t="s">
        <v>952</v>
      </c>
      <c r="F14" s="8">
        <f>COUNTIF('Test Case'!$B$4:$B$499,A14)</f>
        <v>18</v>
      </c>
      <c r="G14" s="8">
        <f>COUNTIFS('Test Case'!$B$4:$B$499,A14,'Test Case'!$L$4:$L$499,"Pass")</f>
        <v>17</v>
      </c>
      <c r="H14" s="8">
        <f>COUNTIFS('Test Case'!$B$4:$B$499,A14,'Test Case'!$L$4:$L$499,"Fail")</f>
        <v>1</v>
      </c>
      <c r="I14" s="8">
        <f>COUNTIFS('Test Case'!$B$4:$B$499,A14,'Test Case'!$L$4:$L$499,"Blocked")</f>
        <v>0</v>
      </c>
      <c r="J14" s="8">
        <f>COUNTIFS('Test Case'!$B$4:$B$499,A14,'Test Case'!$L$4:$L$499,"Not Run")</f>
        <v>0</v>
      </c>
      <c r="K14" s="8">
        <f t="shared" ref="K14:K16" si="2">IF(F14=0,0,(G14+H14+I14)/F14)</f>
        <v>1</v>
      </c>
      <c r="L14" s="8">
        <f t="shared" si="1"/>
        <v>0.94</v>
      </c>
    </row>
    <row r="15" spans="1:12" ht="38.25" x14ac:dyDescent="0.25">
      <c r="A15" s="2" t="s">
        <v>136</v>
      </c>
      <c r="B15" s="2" t="s">
        <v>611</v>
      </c>
      <c r="C15" s="2" t="s">
        <v>768</v>
      </c>
      <c r="D15" s="2" t="s">
        <v>119</v>
      </c>
      <c r="E15" s="13" t="s">
        <v>951</v>
      </c>
      <c r="F15" s="8">
        <f>COUNTIF('Test Case'!$B$4:$B$499,A15)</f>
        <v>7</v>
      </c>
      <c r="G15" s="8">
        <f>COUNTIFS('Test Case'!$B$4:$B$499,A15,'Test Case'!$L$4:$L$499,"Pass")</f>
        <v>7</v>
      </c>
      <c r="H15" s="8">
        <f>COUNTIFS('Test Case'!$B$4:$B$499,A15,'Test Case'!$L$4:$L$499,"Fail")</f>
        <v>0</v>
      </c>
      <c r="I15" s="8">
        <f>COUNTIFS('Test Case'!$B$4:$B$499,A15,'Test Case'!$L$4:$L$499,"Blocked")</f>
        <v>0</v>
      </c>
      <c r="J15" s="8">
        <f>COUNTIFS('Test Case'!$B$4:$B$499,A15,'Test Case'!$L$4:$L$499,"Not Run")</f>
        <v>0</v>
      </c>
      <c r="K15" s="8">
        <f t="shared" si="2"/>
        <v>1</v>
      </c>
      <c r="L15" s="8">
        <f t="shared" si="1"/>
        <v>1</v>
      </c>
    </row>
    <row r="16" spans="1:12" x14ac:dyDescent="0.25">
      <c r="A16" s="2" t="s">
        <v>137</v>
      </c>
      <c r="B16" s="2" t="s">
        <v>608</v>
      </c>
      <c r="C16" s="2" t="s">
        <v>609</v>
      </c>
      <c r="D16" s="2" t="s">
        <v>115</v>
      </c>
      <c r="E16" s="13" t="s">
        <v>950</v>
      </c>
      <c r="F16" s="8">
        <f>COUNTIF('Test Case'!$B$4:$B$499,A16)</f>
        <v>1</v>
      </c>
      <c r="G16" s="8">
        <f>COUNTIFS('Test Case'!$B$4:$B$499,A16,'Test Case'!$L$4:$L$499,"Pass")</f>
        <v>1</v>
      </c>
      <c r="H16" s="8">
        <f>COUNTIFS('Test Case'!$B$4:$B$499,A16,'Test Case'!$L$4:$L$499,"Fail")</f>
        <v>0</v>
      </c>
      <c r="I16" s="8">
        <f>COUNTIFS('Test Case'!$B$4:$B$499,A16,'Test Case'!$L$4:$L$499,"Blocked")</f>
        <v>0</v>
      </c>
      <c r="J16" s="8">
        <f>COUNTIFS('Test Case'!$B$4:$B$499,A16,'Test Case'!$L$4:$L$499,"Not Run")</f>
        <v>0</v>
      </c>
      <c r="K16" s="8">
        <f t="shared" si="2"/>
        <v>1</v>
      </c>
      <c r="L16" s="8">
        <f>ROUND(IF((G16+H16+I16)=0,0,G16/(G16+H16+I16)),2)</f>
        <v>1</v>
      </c>
    </row>
    <row r="17" spans="1:12" ht="63.75" x14ac:dyDescent="0.25">
      <c r="A17" s="2" t="s">
        <v>138</v>
      </c>
      <c r="B17" s="13" t="s">
        <v>943</v>
      </c>
      <c r="C17" s="15" t="s">
        <v>944</v>
      </c>
      <c r="D17" s="2" t="s">
        <v>119</v>
      </c>
      <c r="E17" s="13" t="s">
        <v>949</v>
      </c>
      <c r="F17" s="8">
        <f>COUNTIF('Test Case'!$B$4:$B$499,A17)</f>
        <v>9</v>
      </c>
      <c r="G17" s="8">
        <f>COUNTIFS('Test Case'!$B$4:$B$499,A17,'Test Case'!$L$4:$L$499,"Pass")</f>
        <v>7</v>
      </c>
      <c r="H17" s="8">
        <f>COUNTIFS('Test Case'!$B$4:$B$499,A17,'Test Case'!$L$4:$L$499,"Fail")</f>
        <v>2</v>
      </c>
      <c r="I17" s="8">
        <f>COUNTIFS('Test Case'!$B$4:$B$499,A17,'Test Case'!$L$4:$L$499,"Blocked")</f>
        <v>0</v>
      </c>
      <c r="J17" s="8">
        <f>COUNTIFS('Test Case'!$B$4:$B$499,A17,'Test Case'!$L$4:$L$499,"Not Run")</f>
        <v>0</v>
      </c>
      <c r="K17" s="8">
        <f t="shared" si="0"/>
        <v>1</v>
      </c>
      <c r="L17" s="8">
        <f t="shared" si="1"/>
        <v>0.78</v>
      </c>
    </row>
    <row r="18" spans="1:12" ht="42" customHeight="1" x14ac:dyDescent="0.25">
      <c r="A18" s="13" t="s">
        <v>139</v>
      </c>
      <c r="B18" s="13" t="s">
        <v>946</v>
      </c>
      <c r="C18" s="15" t="s">
        <v>759</v>
      </c>
      <c r="D18" s="2" t="s">
        <v>119</v>
      </c>
      <c r="E18" s="13" t="s">
        <v>956</v>
      </c>
      <c r="F18" s="8">
        <f>COUNTIF('Test Case'!$B$4:$B$499,A18)</f>
        <v>3</v>
      </c>
      <c r="G18" s="8">
        <f>COUNTIFS('Test Case'!$B$4:$B$499,A18,'Test Case'!$L$4:$L$499,"Pass")</f>
        <v>3</v>
      </c>
      <c r="H18" s="8">
        <f>COUNTIFS('Test Case'!$B$4:$B$499,A18,'Test Case'!$L$4:$L$499,"Fail")</f>
        <v>0</v>
      </c>
      <c r="I18" s="8">
        <f>COUNTIFS('Test Case'!$B$4:$B$499,A18,'Test Case'!$L$4:$L$499,"Blocked")</f>
        <v>0</v>
      </c>
      <c r="J18" s="8">
        <f>COUNTIFS('Test Case'!$B$4:$B$499,A18,'Test Case'!$L$4:$L$499,"Not Run")</f>
        <v>0</v>
      </c>
      <c r="K18" s="8">
        <f t="shared" ref="K18" si="3">IF(F18=0,0,(G18+H18+I18)/F18)</f>
        <v>1</v>
      </c>
      <c r="L18" s="8">
        <f t="shared" si="1"/>
        <v>1</v>
      </c>
    </row>
    <row r="19" spans="1:12" ht="42" customHeight="1" x14ac:dyDescent="0.25">
      <c r="A19" s="13" t="s">
        <v>947</v>
      </c>
      <c r="B19" s="13" t="s">
        <v>945</v>
      </c>
      <c r="C19" s="15" t="s">
        <v>756</v>
      </c>
      <c r="D19" s="2" t="s">
        <v>119</v>
      </c>
      <c r="E19" s="13" t="s">
        <v>955</v>
      </c>
      <c r="F19" s="8">
        <f>COUNTIF('Test Case'!$B$4:$B$499,A19)</f>
        <v>3</v>
      </c>
      <c r="G19" s="8">
        <f>COUNTIFS('Test Case'!$B$4:$B$499,A19,'Test Case'!$L$4:$L$499,"Pass")</f>
        <v>1</v>
      </c>
      <c r="H19" s="8">
        <f>COUNTIFS('Test Case'!$B$4:$B$499,A19,'Test Case'!$L$4:$L$499,"Fail")</f>
        <v>2</v>
      </c>
      <c r="I19" s="8">
        <f>COUNTIFS('Test Case'!$B$4:$B$499,A19,'Test Case'!$L$4:$L$499,"Blocked")</f>
        <v>0</v>
      </c>
      <c r="J19" s="8">
        <f>COUNTIFS('Test Case'!$B$4:$B$499,A19,'Test Case'!$L$4:$L$499,"Not Run")</f>
        <v>0</v>
      </c>
      <c r="K19" s="8">
        <f t="shared" ref="K19" si="4">IF(F19=0,0,(G19+H19+I19)/F19)</f>
        <v>1</v>
      </c>
      <c r="L19" s="8">
        <f t="shared" si="1"/>
        <v>0.33</v>
      </c>
    </row>
    <row r="20" spans="1:12" ht="42" customHeight="1" x14ac:dyDescent="0.25">
      <c r="A20" s="13" t="s">
        <v>948</v>
      </c>
      <c r="B20" s="2" t="s">
        <v>615</v>
      </c>
      <c r="C20" s="2" t="s">
        <v>616</v>
      </c>
      <c r="D20" s="2" t="s">
        <v>119</v>
      </c>
      <c r="E20" s="13" t="s">
        <v>954</v>
      </c>
      <c r="F20" s="8">
        <f>COUNTIF('Test Case'!$B$4:$B$499,A20)</f>
        <v>5</v>
      </c>
      <c r="G20" s="8">
        <f>COUNTIFS('Test Case'!$B$4:$B$499,A20,'Test Case'!$L$4:$L$499,"Pass")</f>
        <v>5</v>
      </c>
      <c r="H20" s="8">
        <f>COUNTIFS('Test Case'!$B$4:$B$499,A20,'Test Case'!$L$4:$L$499,"Fail")</f>
        <v>0</v>
      </c>
      <c r="I20" s="8">
        <f>COUNTIFS('Test Case'!$B$4:$B$499,A20,'Test Case'!$L$4:$L$499,"Blocked")</f>
        <v>0</v>
      </c>
      <c r="J20" s="8">
        <f>COUNTIFS('Test Case'!$B$4:$B$499,A20,'Test Case'!$L$4:$L$499,"Not Run")</f>
        <v>0</v>
      </c>
      <c r="K20" s="8">
        <f t="shared" si="0"/>
        <v>1</v>
      </c>
      <c r="L20" s="8">
        <f t="shared" si="1"/>
        <v>1</v>
      </c>
    </row>
    <row r="21" spans="1:12" x14ac:dyDescent="0.25">
      <c r="A21" s="9" t="s">
        <v>140</v>
      </c>
      <c r="B21" s="10"/>
      <c r="C21" s="10"/>
      <c r="D21" s="10"/>
      <c r="E21" s="10"/>
      <c r="F21" s="11">
        <f>SUM(F4:F20)</f>
        <v>133</v>
      </c>
      <c r="G21" s="11">
        <f>SUM(G4:G20)</f>
        <v>117</v>
      </c>
      <c r="H21" s="11">
        <f>SUM(H4:H20)</f>
        <v>16</v>
      </c>
      <c r="I21" s="11">
        <f>SUM(I4:I20)</f>
        <v>0</v>
      </c>
      <c r="J21" s="11">
        <f>SUM(J4:J20)</f>
        <v>0</v>
      </c>
      <c r="K21" s="11">
        <f t="shared" si="0"/>
        <v>1</v>
      </c>
      <c r="L21" s="11">
        <f>ROUND(IF((G21+H21+I21)=0,0,G21/(G21+H21+I21)),2)</f>
        <v>0.88</v>
      </c>
    </row>
  </sheetData>
  <pageMargins left="0.75" right="0.75" top="1" bottom="1" header="0.511811023622047" footer="0.511811023622047"/>
  <pageSetup paperSize="9" scale="60" fitToHeight="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503"/>
  <sheetViews>
    <sheetView zoomScaleNormal="100" workbookViewId="0">
      <pane ySplit="3" topLeftCell="A46" activePane="bottomLeft" state="frozen"/>
      <selection pane="bottomLeft" activeCell="A2" sqref="A2"/>
    </sheetView>
  </sheetViews>
  <sheetFormatPr defaultColWidth="8.7109375" defaultRowHeight="15" x14ac:dyDescent="0.25"/>
  <cols>
    <col min="1" max="1" width="9" customWidth="1"/>
    <col min="2" max="2" width="11" customWidth="1"/>
    <col min="3" max="3" width="70" customWidth="1"/>
    <col min="4" max="4" width="11" customWidth="1"/>
    <col min="5" max="5" width="22.85546875" bestFit="1" customWidth="1"/>
    <col min="6" max="6" width="37.140625" bestFit="1" customWidth="1"/>
    <col min="7" max="7" width="30" customWidth="1"/>
  </cols>
  <sheetData>
    <row r="1" spans="1:7" ht="18" x14ac:dyDescent="0.25">
      <c r="A1" s="3" t="s">
        <v>141</v>
      </c>
    </row>
    <row r="2" spans="1:7" x14ac:dyDescent="0.25">
      <c r="A2" s="4" t="s">
        <v>142</v>
      </c>
    </row>
    <row r="3" spans="1:7" ht="30" customHeight="1" x14ac:dyDescent="0.25">
      <c r="A3" s="12" t="s">
        <v>92</v>
      </c>
      <c r="B3" s="12" t="s">
        <v>23</v>
      </c>
      <c r="C3" s="12" t="s">
        <v>143</v>
      </c>
      <c r="D3" s="12" t="s">
        <v>144</v>
      </c>
      <c r="E3" s="12" t="s">
        <v>26</v>
      </c>
      <c r="F3" s="12" t="s">
        <v>46</v>
      </c>
      <c r="G3" s="12" t="s">
        <v>145</v>
      </c>
    </row>
    <row r="4" spans="1:7" ht="30" customHeight="1" x14ac:dyDescent="0.25">
      <c r="A4" s="2" t="str">
        <f>"CL-"&amp;TEXT(ROW()-3,"000")</f>
        <v>CL-001</v>
      </c>
      <c r="B4" s="2" t="s">
        <v>113</v>
      </c>
      <c r="C4" s="13" t="s">
        <v>191</v>
      </c>
      <c r="D4" s="18" t="s">
        <v>6</v>
      </c>
      <c r="E4" s="2"/>
      <c r="F4" s="2"/>
      <c r="G4" s="2" t="s">
        <v>146</v>
      </c>
    </row>
    <row r="5" spans="1:7" ht="30" customHeight="1" x14ac:dyDescent="0.25">
      <c r="A5" s="2" t="str">
        <f t="shared" ref="A5:A55" si="0">"CL-"&amp;TEXT(ROW()-3,"000")</f>
        <v>CL-002</v>
      </c>
      <c r="B5" s="2" t="s">
        <v>113</v>
      </c>
      <c r="C5" s="2" t="s">
        <v>634</v>
      </c>
      <c r="D5" s="18" t="s">
        <v>6</v>
      </c>
      <c r="E5" s="2"/>
      <c r="F5" s="2"/>
      <c r="G5" s="13" t="s">
        <v>635</v>
      </c>
    </row>
    <row r="6" spans="1:7" ht="30" customHeight="1" x14ac:dyDescent="0.25">
      <c r="A6" s="2" t="str">
        <f t="shared" si="0"/>
        <v>CL-003</v>
      </c>
      <c r="B6" s="2" t="s">
        <v>113</v>
      </c>
      <c r="C6" s="2" t="s">
        <v>147</v>
      </c>
      <c r="D6" s="18" t="s">
        <v>6</v>
      </c>
      <c r="E6" s="2"/>
      <c r="F6" s="2"/>
      <c r="G6" s="13" t="s">
        <v>636</v>
      </c>
    </row>
    <row r="7" spans="1:7" ht="30" customHeight="1" x14ac:dyDescent="0.25">
      <c r="A7" s="2" t="str">
        <f t="shared" si="0"/>
        <v>CL-004</v>
      </c>
      <c r="B7" s="2" t="s">
        <v>117</v>
      </c>
      <c r="C7" s="2" t="s">
        <v>148</v>
      </c>
      <c r="D7" s="18" t="s">
        <v>6</v>
      </c>
      <c r="E7" s="2"/>
      <c r="F7" s="2"/>
      <c r="G7" s="2" t="s">
        <v>149</v>
      </c>
    </row>
    <row r="8" spans="1:7" ht="30" customHeight="1" x14ac:dyDescent="0.25">
      <c r="A8" s="2" t="str">
        <f t="shared" si="0"/>
        <v>CL-005</v>
      </c>
      <c r="B8" s="2" t="s">
        <v>117</v>
      </c>
      <c r="C8" s="2" t="s">
        <v>150</v>
      </c>
      <c r="D8" s="18" t="s">
        <v>6</v>
      </c>
      <c r="E8" s="2"/>
      <c r="F8" s="2"/>
      <c r="G8" s="2" t="s">
        <v>151</v>
      </c>
    </row>
    <row r="9" spans="1:7" ht="30" customHeight="1" x14ac:dyDescent="0.25">
      <c r="A9" s="2" t="str">
        <f t="shared" si="0"/>
        <v>CL-006</v>
      </c>
      <c r="B9" s="2" t="s">
        <v>117</v>
      </c>
      <c r="C9" s="2" t="s">
        <v>152</v>
      </c>
      <c r="D9" s="18" t="s">
        <v>6</v>
      </c>
      <c r="E9" s="2"/>
      <c r="F9" s="2"/>
      <c r="G9" s="2" t="s">
        <v>153</v>
      </c>
    </row>
    <row r="10" spans="1:7" ht="30" customHeight="1" x14ac:dyDescent="0.25">
      <c r="A10" s="2" t="str">
        <f t="shared" si="0"/>
        <v>CL-007</v>
      </c>
      <c r="B10" s="2" t="s">
        <v>117</v>
      </c>
      <c r="C10" s="2" t="s">
        <v>630</v>
      </c>
      <c r="D10" s="18" t="s">
        <v>6</v>
      </c>
      <c r="E10" s="2"/>
      <c r="F10" s="2"/>
      <c r="G10" s="13" t="s">
        <v>637</v>
      </c>
    </row>
    <row r="11" spans="1:7" ht="30" customHeight="1" x14ac:dyDescent="0.25">
      <c r="A11" s="2" t="str">
        <f t="shared" si="0"/>
        <v>CL-008</v>
      </c>
      <c r="B11" s="2" t="s">
        <v>120</v>
      </c>
      <c r="C11" s="13" t="s">
        <v>154</v>
      </c>
      <c r="D11" s="18" t="s">
        <v>6</v>
      </c>
      <c r="E11" s="2"/>
      <c r="F11" s="2"/>
      <c r="G11" s="13" t="s">
        <v>638</v>
      </c>
    </row>
    <row r="12" spans="1:7" ht="30" customHeight="1" x14ac:dyDescent="0.25">
      <c r="A12" s="2" t="str">
        <f t="shared" si="0"/>
        <v>CL-009</v>
      </c>
      <c r="B12" s="2" t="s">
        <v>120</v>
      </c>
      <c r="C12" s="2" t="s">
        <v>155</v>
      </c>
      <c r="D12" s="18" t="s">
        <v>6</v>
      </c>
      <c r="E12" s="2"/>
      <c r="F12" s="2"/>
      <c r="G12" s="13" t="s">
        <v>639</v>
      </c>
    </row>
    <row r="13" spans="1:7" ht="30" customHeight="1" x14ac:dyDescent="0.25">
      <c r="A13" s="2" t="str">
        <f t="shared" si="0"/>
        <v>CL-010</v>
      </c>
      <c r="B13" s="2" t="s">
        <v>120</v>
      </c>
      <c r="C13" s="2" t="s">
        <v>156</v>
      </c>
      <c r="D13" s="18" t="s">
        <v>6</v>
      </c>
      <c r="E13" s="2"/>
      <c r="F13" s="2"/>
      <c r="G13" s="13" t="s">
        <v>239</v>
      </c>
    </row>
    <row r="14" spans="1:7" ht="30" customHeight="1" x14ac:dyDescent="0.25">
      <c r="A14" s="2" t="str">
        <f t="shared" si="0"/>
        <v>CL-011</v>
      </c>
      <c r="B14" s="2" t="s">
        <v>123</v>
      </c>
      <c r="C14" s="13" t="s">
        <v>645</v>
      </c>
      <c r="D14" s="8" t="s">
        <v>7</v>
      </c>
      <c r="E14" s="17" t="s">
        <v>648</v>
      </c>
      <c r="F14" s="13" t="s">
        <v>647</v>
      </c>
      <c r="G14" s="13" t="s">
        <v>646</v>
      </c>
    </row>
    <row r="15" spans="1:7" ht="30" customHeight="1" x14ac:dyDescent="0.25">
      <c r="A15" s="2" t="str">
        <f t="shared" si="0"/>
        <v>CL-012</v>
      </c>
      <c r="B15" s="2" t="s">
        <v>123</v>
      </c>
      <c r="C15" s="13" t="s">
        <v>631</v>
      </c>
      <c r="D15" s="8" t="s">
        <v>7</v>
      </c>
      <c r="E15" s="1" t="s">
        <v>561</v>
      </c>
      <c r="F15" s="13" t="s">
        <v>643</v>
      </c>
      <c r="G15" s="13" t="s">
        <v>642</v>
      </c>
    </row>
    <row r="16" spans="1:7" ht="30" customHeight="1" x14ac:dyDescent="0.25">
      <c r="A16" s="2" t="str">
        <f t="shared" si="0"/>
        <v>CL-013</v>
      </c>
      <c r="B16" s="2" t="s">
        <v>123</v>
      </c>
      <c r="C16" s="2" t="s">
        <v>157</v>
      </c>
      <c r="D16" s="8" t="s">
        <v>7</v>
      </c>
      <c r="E16" s="17" t="s">
        <v>649</v>
      </c>
      <c r="F16" s="13" t="s">
        <v>651</v>
      </c>
      <c r="G16" s="2" t="s">
        <v>158</v>
      </c>
    </row>
    <row r="17" spans="1:7" ht="30" customHeight="1" x14ac:dyDescent="0.25">
      <c r="A17" s="2" t="str">
        <f t="shared" si="0"/>
        <v>CL-014</v>
      </c>
      <c r="B17" s="2" t="s">
        <v>126</v>
      </c>
      <c r="C17" s="13" t="s">
        <v>652</v>
      </c>
      <c r="D17" s="18" t="s">
        <v>6</v>
      </c>
      <c r="E17" s="2"/>
      <c r="F17" s="2"/>
      <c r="G17" s="13" t="s">
        <v>656</v>
      </c>
    </row>
    <row r="18" spans="1:7" ht="30" customHeight="1" x14ac:dyDescent="0.25">
      <c r="A18" s="2" t="str">
        <f t="shared" si="0"/>
        <v>CL-015</v>
      </c>
      <c r="B18" s="2" t="s">
        <v>126</v>
      </c>
      <c r="C18" s="2" t="s">
        <v>159</v>
      </c>
      <c r="D18" s="18" t="s">
        <v>6</v>
      </c>
      <c r="E18" s="2"/>
      <c r="F18" s="2"/>
      <c r="G18" s="13" t="s">
        <v>657</v>
      </c>
    </row>
    <row r="19" spans="1:7" ht="30" customHeight="1" x14ac:dyDescent="0.25">
      <c r="A19" s="2" t="str">
        <f t="shared" si="0"/>
        <v>CL-016</v>
      </c>
      <c r="B19" s="2" t="s">
        <v>126</v>
      </c>
      <c r="C19" s="13" t="s">
        <v>655</v>
      </c>
      <c r="D19" s="18" t="s">
        <v>6</v>
      </c>
      <c r="E19" s="2"/>
      <c r="F19" s="2"/>
      <c r="G19" s="13" t="s">
        <v>658</v>
      </c>
    </row>
    <row r="20" spans="1:7" ht="30" customHeight="1" x14ac:dyDescent="0.25">
      <c r="A20" s="2" t="str">
        <f t="shared" si="0"/>
        <v>CL-017</v>
      </c>
      <c r="B20" s="2" t="s">
        <v>126</v>
      </c>
      <c r="C20" s="2" t="s">
        <v>160</v>
      </c>
      <c r="D20" s="18" t="s">
        <v>6</v>
      </c>
      <c r="E20" s="2"/>
      <c r="F20" s="2"/>
      <c r="G20" s="13" t="s">
        <v>659</v>
      </c>
    </row>
    <row r="21" spans="1:7" ht="30" customHeight="1" x14ac:dyDescent="0.25">
      <c r="A21" s="2" t="str">
        <f t="shared" si="0"/>
        <v>CL-018</v>
      </c>
      <c r="B21" s="2" t="s">
        <v>126</v>
      </c>
      <c r="C21" s="13" t="s">
        <v>660</v>
      </c>
      <c r="D21" s="18" t="s">
        <v>6</v>
      </c>
      <c r="E21" s="2"/>
      <c r="F21" s="2"/>
      <c r="G21" s="13" t="s">
        <v>661</v>
      </c>
    </row>
    <row r="22" spans="1:7" ht="30" customHeight="1" x14ac:dyDescent="0.25">
      <c r="A22" s="2" t="str">
        <f t="shared" si="0"/>
        <v>CL-019</v>
      </c>
      <c r="B22" s="2" t="s">
        <v>128</v>
      </c>
      <c r="C22" s="2" t="s">
        <v>161</v>
      </c>
      <c r="D22" s="18" t="s">
        <v>6</v>
      </c>
      <c r="E22" s="2"/>
      <c r="F22" s="2"/>
      <c r="G22" s="13" t="s">
        <v>628</v>
      </c>
    </row>
    <row r="23" spans="1:7" ht="30" customHeight="1" x14ac:dyDescent="0.25">
      <c r="A23" s="2" t="str">
        <f t="shared" si="0"/>
        <v>CL-020</v>
      </c>
      <c r="B23" s="2" t="s">
        <v>131</v>
      </c>
      <c r="C23" s="2" t="s">
        <v>162</v>
      </c>
      <c r="D23" s="18" t="s">
        <v>6</v>
      </c>
      <c r="E23" s="2"/>
      <c r="F23" s="2"/>
      <c r="G23" s="13" t="s">
        <v>662</v>
      </c>
    </row>
    <row r="24" spans="1:7" ht="30" customHeight="1" x14ac:dyDescent="0.25">
      <c r="A24" s="2" t="str">
        <f t="shared" si="0"/>
        <v>CL-021</v>
      </c>
      <c r="B24" s="2" t="s">
        <v>131</v>
      </c>
      <c r="C24" s="2" t="s">
        <v>167</v>
      </c>
      <c r="D24" s="18" t="s">
        <v>6</v>
      </c>
      <c r="E24" s="2"/>
      <c r="F24" s="2"/>
      <c r="G24" s="13" t="s">
        <v>663</v>
      </c>
    </row>
    <row r="25" spans="1:7" ht="30" customHeight="1" x14ac:dyDescent="0.25">
      <c r="A25" s="2" t="str">
        <f t="shared" si="0"/>
        <v>CL-022</v>
      </c>
      <c r="B25" s="2" t="s">
        <v>131</v>
      </c>
      <c r="C25" s="2" t="s">
        <v>168</v>
      </c>
      <c r="D25" s="18" t="s">
        <v>6</v>
      </c>
      <c r="E25" s="2"/>
      <c r="F25" s="2"/>
      <c r="G25" s="13" t="s">
        <v>664</v>
      </c>
    </row>
    <row r="26" spans="1:7" ht="30" customHeight="1" x14ac:dyDescent="0.25">
      <c r="A26" s="2" t="str">
        <f t="shared" si="0"/>
        <v>CL-023</v>
      </c>
      <c r="B26" s="2" t="s">
        <v>132</v>
      </c>
      <c r="C26" s="13" t="s">
        <v>666</v>
      </c>
      <c r="D26" s="18" t="s">
        <v>6</v>
      </c>
      <c r="E26" s="2"/>
      <c r="F26" s="2"/>
      <c r="G26" s="13" t="s">
        <v>667</v>
      </c>
    </row>
    <row r="27" spans="1:7" ht="30" customHeight="1" x14ac:dyDescent="0.25">
      <c r="A27" s="2" t="str">
        <f t="shared" si="0"/>
        <v>CL-024</v>
      </c>
      <c r="B27" s="2" t="s">
        <v>132</v>
      </c>
      <c r="C27" s="13" t="s">
        <v>665</v>
      </c>
      <c r="D27" s="18" t="s">
        <v>6</v>
      </c>
      <c r="E27" s="2"/>
      <c r="F27" s="2"/>
      <c r="G27" s="13" t="s">
        <v>668</v>
      </c>
    </row>
    <row r="28" spans="1:7" ht="30" customHeight="1" x14ac:dyDescent="0.25">
      <c r="A28" s="2" t="str">
        <f t="shared" si="0"/>
        <v>CL-025</v>
      </c>
      <c r="B28" s="2" t="s">
        <v>132</v>
      </c>
      <c r="C28" s="13" t="s">
        <v>165</v>
      </c>
      <c r="D28" s="18" t="s">
        <v>6</v>
      </c>
      <c r="E28" s="2"/>
      <c r="F28" s="2"/>
      <c r="G28" s="13" t="s">
        <v>163</v>
      </c>
    </row>
    <row r="29" spans="1:7" ht="30" customHeight="1" x14ac:dyDescent="0.25">
      <c r="A29" s="2" t="str">
        <f t="shared" si="0"/>
        <v>CL-026</v>
      </c>
      <c r="B29" s="2" t="s">
        <v>132</v>
      </c>
      <c r="C29" s="2" t="s">
        <v>771</v>
      </c>
      <c r="D29" s="18" t="s">
        <v>6</v>
      </c>
      <c r="E29" s="2"/>
      <c r="F29" s="2"/>
      <c r="G29" s="13" t="s">
        <v>669</v>
      </c>
    </row>
    <row r="30" spans="1:7" ht="30" customHeight="1" x14ac:dyDescent="0.25">
      <c r="A30" s="2" t="str">
        <f t="shared" si="0"/>
        <v>CL-027</v>
      </c>
      <c r="B30" s="2" t="s">
        <v>133</v>
      </c>
      <c r="C30" s="13" t="s">
        <v>715</v>
      </c>
      <c r="D30" s="18" t="s">
        <v>6</v>
      </c>
      <c r="E30" s="2"/>
      <c r="F30" s="2"/>
      <c r="G30" s="13" t="s">
        <v>164</v>
      </c>
    </row>
    <row r="31" spans="1:7" ht="30" customHeight="1" x14ac:dyDescent="0.25">
      <c r="A31" s="2" t="str">
        <f t="shared" si="0"/>
        <v>CL-028</v>
      </c>
      <c r="B31" s="2" t="s">
        <v>133</v>
      </c>
      <c r="C31" s="13" t="s">
        <v>632</v>
      </c>
      <c r="D31" s="18" t="s">
        <v>6</v>
      </c>
      <c r="E31" s="2"/>
      <c r="F31" s="2"/>
      <c r="G31" s="13" t="s">
        <v>670</v>
      </c>
    </row>
    <row r="32" spans="1:7" ht="30" customHeight="1" x14ac:dyDescent="0.25">
      <c r="A32" s="2" t="str">
        <f t="shared" si="0"/>
        <v>CL-029</v>
      </c>
      <c r="B32" s="13" t="s">
        <v>133</v>
      </c>
      <c r="C32" s="13" t="s">
        <v>633</v>
      </c>
      <c r="D32" s="18" t="s">
        <v>6</v>
      </c>
      <c r="E32" s="2"/>
      <c r="F32" s="2"/>
      <c r="G32" s="13" t="s">
        <v>671</v>
      </c>
    </row>
    <row r="33" spans="1:42" ht="30" customHeight="1" x14ac:dyDescent="0.25">
      <c r="A33" s="2" t="str">
        <f t="shared" si="0"/>
        <v>CL-030</v>
      </c>
      <c r="B33" s="13" t="s">
        <v>134</v>
      </c>
      <c r="C33" s="2" t="s">
        <v>169</v>
      </c>
      <c r="D33" s="18" t="s">
        <v>6</v>
      </c>
      <c r="E33" s="2"/>
      <c r="F33" s="2"/>
      <c r="G33" s="13" t="s">
        <v>166</v>
      </c>
    </row>
    <row r="34" spans="1:42" s="16" customFormat="1" ht="30" customHeight="1" x14ac:dyDescent="0.25">
      <c r="A34" s="14" t="str">
        <f t="shared" si="0"/>
        <v>CL-031</v>
      </c>
      <c r="B34" s="14" t="s">
        <v>134</v>
      </c>
      <c r="C34" s="15" t="s">
        <v>847</v>
      </c>
      <c r="D34" s="18" t="s">
        <v>6</v>
      </c>
      <c r="E34" s="14"/>
      <c r="F34" s="14"/>
      <c r="G34" s="13" t="s">
        <v>672</v>
      </c>
      <c r="H34"/>
      <c r="I34"/>
      <c r="J34"/>
      <c r="K34"/>
      <c r="L34"/>
      <c r="M34"/>
      <c r="N34"/>
      <c r="O34"/>
      <c r="P34"/>
      <c r="Q34"/>
      <c r="R34"/>
      <c r="S34"/>
      <c r="T34"/>
      <c r="U34"/>
      <c r="V34"/>
      <c r="W34"/>
      <c r="X34"/>
      <c r="Y34"/>
      <c r="Z34"/>
      <c r="AA34"/>
      <c r="AB34"/>
      <c r="AC34"/>
      <c r="AD34"/>
      <c r="AE34"/>
      <c r="AF34"/>
      <c r="AG34"/>
      <c r="AH34"/>
      <c r="AI34"/>
      <c r="AJ34"/>
      <c r="AK34"/>
      <c r="AL34"/>
      <c r="AM34"/>
      <c r="AN34"/>
      <c r="AO34"/>
      <c r="AP34"/>
    </row>
    <row r="35" spans="1:42" ht="30" customHeight="1" x14ac:dyDescent="0.25">
      <c r="A35" s="2" t="str">
        <f t="shared" si="0"/>
        <v>CL-032</v>
      </c>
      <c r="B35" s="13" t="s">
        <v>134</v>
      </c>
      <c r="C35" s="2" t="s">
        <v>170</v>
      </c>
      <c r="D35" s="18" t="s">
        <v>6</v>
      </c>
      <c r="E35" s="2"/>
      <c r="F35" s="2"/>
      <c r="G35" s="13" t="s">
        <v>848</v>
      </c>
    </row>
    <row r="36" spans="1:42" s="16" customFormat="1" ht="30" customHeight="1" x14ac:dyDescent="0.25">
      <c r="A36" s="14" t="str">
        <f t="shared" si="0"/>
        <v>CL-033</v>
      </c>
      <c r="B36" s="14" t="s">
        <v>134</v>
      </c>
      <c r="C36" s="15" t="s">
        <v>846</v>
      </c>
      <c r="D36" s="18" t="s">
        <v>6</v>
      </c>
      <c r="E36" s="14"/>
      <c r="F36" s="14"/>
      <c r="G36" s="13" t="s">
        <v>849</v>
      </c>
      <c r="H36"/>
      <c r="I36"/>
      <c r="J36"/>
      <c r="K36"/>
      <c r="L36"/>
      <c r="M36"/>
      <c r="N36"/>
      <c r="O36"/>
      <c r="P36"/>
      <c r="Q36"/>
      <c r="R36"/>
      <c r="S36"/>
      <c r="T36"/>
      <c r="U36"/>
      <c r="V36"/>
      <c r="W36"/>
      <c r="X36"/>
      <c r="Y36"/>
      <c r="Z36"/>
      <c r="AA36"/>
      <c r="AB36"/>
      <c r="AC36"/>
      <c r="AD36"/>
      <c r="AE36"/>
      <c r="AF36"/>
      <c r="AG36"/>
      <c r="AH36"/>
      <c r="AI36"/>
      <c r="AJ36"/>
      <c r="AK36"/>
      <c r="AL36"/>
      <c r="AM36"/>
      <c r="AN36"/>
      <c r="AO36"/>
      <c r="AP36"/>
    </row>
    <row r="37" spans="1:42" ht="30" customHeight="1" x14ac:dyDescent="0.25">
      <c r="A37" s="2" t="str">
        <f t="shared" si="0"/>
        <v>CL-034</v>
      </c>
      <c r="B37" s="13" t="s">
        <v>134</v>
      </c>
      <c r="C37" s="13" t="s">
        <v>171</v>
      </c>
      <c r="D37" s="18" t="s">
        <v>7</v>
      </c>
      <c r="E37" s="17" t="s">
        <v>622</v>
      </c>
      <c r="F37" s="13" t="s">
        <v>850</v>
      </c>
      <c r="G37" s="13" t="s">
        <v>850</v>
      </c>
    </row>
    <row r="38" spans="1:42" ht="30" customHeight="1" x14ac:dyDescent="0.25">
      <c r="A38" s="2" t="str">
        <f t="shared" si="0"/>
        <v>CL-035</v>
      </c>
      <c r="B38" s="15" t="s">
        <v>135</v>
      </c>
      <c r="C38" s="13" t="s">
        <v>716</v>
      </c>
      <c r="D38" s="18" t="s">
        <v>6</v>
      </c>
      <c r="E38" s="17"/>
      <c r="F38" s="13"/>
      <c r="G38" s="13" t="s">
        <v>851</v>
      </c>
    </row>
    <row r="39" spans="1:42" s="16" customFormat="1" ht="30" customHeight="1" x14ac:dyDescent="0.25">
      <c r="A39" s="14" t="str">
        <f t="shared" si="0"/>
        <v>CL-036</v>
      </c>
      <c r="B39" s="15" t="s">
        <v>135</v>
      </c>
      <c r="C39" s="15" t="s">
        <v>172</v>
      </c>
      <c r="D39" s="18" t="s">
        <v>6</v>
      </c>
      <c r="E39" s="14"/>
      <c r="F39" s="14"/>
      <c r="G39" s="15" t="s">
        <v>855</v>
      </c>
      <c r="H39"/>
      <c r="I39"/>
      <c r="J39"/>
      <c r="K39"/>
      <c r="L39"/>
      <c r="M39"/>
      <c r="N39"/>
      <c r="O39"/>
      <c r="P39"/>
      <c r="Q39"/>
      <c r="R39"/>
      <c r="S39"/>
      <c r="T39"/>
      <c r="U39"/>
      <c r="V39"/>
      <c r="W39"/>
      <c r="X39"/>
      <c r="Y39"/>
      <c r="Z39"/>
      <c r="AA39"/>
      <c r="AB39"/>
      <c r="AC39"/>
      <c r="AD39"/>
      <c r="AE39"/>
      <c r="AF39"/>
    </row>
    <row r="40" spans="1:42" s="16" customFormat="1" ht="30" customHeight="1" x14ac:dyDescent="0.25">
      <c r="A40" s="14" t="str">
        <f t="shared" si="0"/>
        <v>CL-037</v>
      </c>
      <c r="B40" s="14" t="s">
        <v>135</v>
      </c>
      <c r="C40" s="15" t="s">
        <v>772</v>
      </c>
      <c r="D40" s="18" t="s">
        <v>6</v>
      </c>
      <c r="E40" s="14"/>
      <c r="F40" s="14"/>
      <c r="G40" s="13" t="s">
        <v>856</v>
      </c>
      <c r="H40"/>
      <c r="I40"/>
      <c r="J40"/>
      <c r="K40"/>
      <c r="L40"/>
      <c r="M40"/>
      <c r="N40"/>
      <c r="O40"/>
      <c r="P40"/>
      <c r="Q40"/>
      <c r="R40"/>
      <c r="S40"/>
      <c r="T40"/>
      <c r="U40"/>
      <c r="V40"/>
      <c r="W40"/>
      <c r="X40"/>
      <c r="Y40"/>
      <c r="Z40"/>
      <c r="AA40"/>
      <c r="AB40"/>
      <c r="AC40"/>
      <c r="AD40"/>
      <c r="AE40"/>
      <c r="AF40"/>
      <c r="AG40"/>
      <c r="AH40"/>
      <c r="AI40"/>
      <c r="AJ40"/>
      <c r="AK40"/>
      <c r="AL40"/>
      <c r="AM40"/>
      <c r="AN40"/>
      <c r="AO40"/>
      <c r="AP40"/>
    </row>
    <row r="41" spans="1:42" ht="30" customHeight="1" x14ac:dyDescent="0.25">
      <c r="A41" s="2" t="str">
        <f t="shared" si="0"/>
        <v>CL-038</v>
      </c>
      <c r="B41" s="13" t="s">
        <v>135</v>
      </c>
      <c r="C41" s="2" t="s">
        <v>173</v>
      </c>
      <c r="D41" s="18" t="s">
        <v>6</v>
      </c>
      <c r="E41" s="2"/>
      <c r="F41" s="2"/>
      <c r="G41" s="13" t="s">
        <v>857</v>
      </c>
    </row>
    <row r="42" spans="1:42" ht="30" customHeight="1" x14ac:dyDescent="0.25">
      <c r="A42" s="2" t="str">
        <f t="shared" si="0"/>
        <v>CL-039</v>
      </c>
      <c r="B42" s="13" t="s">
        <v>135</v>
      </c>
      <c r="C42" s="2" t="s">
        <v>174</v>
      </c>
      <c r="D42" s="18" t="s">
        <v>6</v>
      </c>
      <c r="E42" s="2"/>
      <c r="F42" s="2"/>
      <c r="G42" s="13" t="s">
        <v>858</v>
      </c>
    </row>
    <row r="43" spans="1:42" ht="30" customHeight="1" x14ac:dyDescent="0.25">
      <c r="A43" s="2" t="str">
        <f t="shared" si="0"/>
        <v>CL-040</v>
      </c>
      <c r="B43" s="13" t="s">
        <v>135</v>
      </c>
      <c r="C43" s="2" t="s">
        <v>175</v>
      </c>
      <c r="D43" s="18" t="s">
        <v>7</v>
      </c>
      <c r="E43" s="17" t="s">
        <v>708</v>
      </c>
      <c r="F43" s="13" t="s">
        <v>860</v>
      </c>
      <c r="G43" s="13" t="s">
        <v>859</v>
      </c>
    </row>
    <row r="44" spans="1:42" s="16" customFormat="1" ht="30" customHeight="1" x14ac:dyDescent="0.25">
      <c r="A44" s="14" t="str">
        <f t="shared" si="0"/>
        <v>CL-041</v>
      </c>
      <c r="B44" s="15" t="s">
        <v>135</v>
      </c>
      <c r="C44" s="15" t="s">
        <v>176</v>
      </c>
      <c r="D44" s="18" t="s">
        <v>6</v>
      </c>
      <c r="E44" s="14"/>
      <c r="F44" s="14"/>
      <c r="G44" s="13" t="s">
        <v>861</v>
      </c>
      <c r="H44"/>
      <c r="I44"/>
      <c r="J44"/>
      <c r="K44"/>
      <c r="L44"/>
      <c r="M44"/>
      <c r="N44"/>
      <c r="O44"/>
      <c r="P44"/>
      <c r="Q44"/>
      <c r="R44"/>
      <c r="S44"/>
      <c r="T44"/>
      <c r="U44"/>
      <c r="V44"/>
      <c r="W44"/>
      <c r="X44"/>
      <c r="Y44"/>
      <c r="Z44"/>
      <c r="AA44"/>
      <c r="AB44"/>
      <c r="AC44"/>
      <c r="AD44"/>
      <c r="AE44"/>
      <c r="AF44"/>
      <c r="AG44"/>
      <c r="AH44"/>
      <c r="AI44"/>
      <c r="AJ44"/>
      <c r="AK44"/>
      <c r="AL44"/>
      <c r="AM44"/>
      <c r="AN44"/>
      <c r="AO44"/>
      <c r="AP44"/>
    </row>
    <row r="45" spans="1:42" s="16" customFormat="1" ht="30" customHeight="1" x14ac:dyDescent="0.25">
      <c r="A45" s="14" t="str">
        <f t="shared" si="0"/>
        <v>CL-042</v>
      </c>
      <c r="B45" s="15" t="s">
        <v>136</v>
      </c>
      <c r="C45" s="15" t="s">
        <v>718</v>
      </c>
      <c r="D45" s="18" t="s">
        <v>6</v>
      </c>
      <c r="E45" s="14"/>
      <c r="F45" s="14"/>
      <c r="G45" s="13" t="s">
        <v>862</v>
      </c>
      <c r="H45"/>
      <c r="I45"/>
      <c r="J45"/>
      <c r="K45"/>
      <c r="L45"/>
      <c r="M45"/>
      <c r="N45"/>
      <c r="O45"/>
      <c r="P45"/>
      <c r="Q45"/>
      <c r="R45"/>
      <c r="S45"/>
      <c r="T45"/>
      <c r="U45"/>
      <c r="V45"/>
      <c r="W45"/>
      <c r="X45"/>
      <c r="Y45"/>
      <c r="Z45"/>
      <c r="AA45"/>
      <c r="AB45"/>
      <c r="AC45"/>
      <c r="AD45"/>
      <c r="AE45"/>
      <c r="AF45"/>
      <c r="AG45"/>
      <c r="AH45"/>
      <c r="AI45"/>
      <c r="AJ45"/>
      <c r="AK45"/>
      <c r="AL45"/>
      <c r="AM45"/>
      <c r="AN45"/>
      <c r="AO45"/>
      <c r="AP45"/>
    </row>
    <row r="46" spans="1:42" s="16" customFormat="1" ht="30" customHeight="1" x14ac:dyDescent="0.25">
      <c r="A46" s="14" t="str">
        <f t="shared" si="0"/>
        <v>CL-043</v>
      </c>
      <c r="B46" s="14" t="s">
        <v>136</v>
      </c>
      <c r="C46" s="15" t="s">
        <v>773</v>
      </c>
      <c r="D46" s="18" t="s">
        <v>6</v>
      </c>
      <c r="E46" s="14"/>
      <c r="F46" s="14"/>
      <c r="G46" s="13" t="s">
        <v>863</v>
      </c>
      <c r="H46"/>
      <c r="I46"/>
      <c r="J46"/>
      <c r="K46"/>
      <c r="L46"/>
      <c r="M46"/>
      <c r="N46"/>
      <c r="O46"/>
      <c r="P46"/>
      <c r="Q46"/>
      <c r="R46"/>
      <c r="S46"/>
      <c r="T46"/>
      <c r="U46"/>
      <c r="V46"/>
      <c r="W46"/>
      <c r="X46"/>
      <c r="Y46"/>
      <c r="Z46"/>
      <c r="AA46"/>
      <c r="AB46"/>
      <c r="AC46"/>
      <c r="AD46"/>
      <c r="AE46"/>
      <c r="AF46"/>
      <c r="AG46"/>
      <c r="AH46"/>
      <c r="AI46"/>
      <c r="AJ46"/>
      <c r="AK46"/>
      <c r="AL46"/>
      <c r="AM46"/>
      <c r="AN46"/>
      <c r="AO46"/>
      <c r="AP46"/>
    </row>
    <row r="47" spans="1:42" s="16" customFormat="1" ht="30" customHeight="1" x14ac:dyDescent="0.25">
      <c r="A47" s="14" t="str">
        <f t="shared" si="0"/>
        <v>CL-044</v>
      </c>
      <c r="B47" s="15" t="s">
        <v>136</v>
      </c>
      <c r="C47" s="15" t="s">
        <v>717</v>
      </c>
      <c r="D47" s="18" t="s">
        <v>6</v>
      </c>
      <c r="E47" s="14"/>
      <c r="F47" s="14"/>
      <c r="G47" s="13" t="s">
        <v>845</v>
      </c>
      <c r="H47"/>
      <c r="I47"/>
      <c r="J47"/>
      <c r="K47"/>
      <c r="L47"/>
      <c r="M47"/>
      <c r="N47"/>
      <c r="O47"/>
      <c r="P47"/>
      <c r="Q47"/>
      <c r="R47"/>
      <c r="S47"/>
      <c r="T47"/>
      <c r="U47"/>
      <c r="V47"/>
      <c r="W47"/>
      <c r="X47"/>
      <c r="Y47"/>
      <c r="Z47"/>
      <c r="AA47"/>
      <c r="AB47"/>
      <c r="AC47"/>
      <c r="AD47"/>
      <c r="AE47"/>
      <c r="AF47"/>
      <c r="AG47"/>
      <c r="AH47"/>
      <c r="AI47"/>
      <c r="AJ47"/>
      <c r="AK47"/>
      <c r="AL47"/>
      <c r="AM47"/>
      <c r="AN47"/>
      <c r="AO47"/>
      <c r="AP47"/>
    </row>
    <row r="48" spans="1:42" s="16" customFormat="1" ht="30" customHeight="1" x14ac:dyDescent="0.25">
      <c r="A48" s="14" t="str">
        <f t="shared" si="0"/>
        <v>CL-045</v>
      </c>
      <c r="B48" s="15" t="s">
        <v>137</v>
      </c>
      <c r="C48" s="15" t="s">
        <v>719</v>
      </c>
      <c r="D48" s="18" t="s">
        <v>6</v>
      </c>
      <c r="E48" s="14"/>
      <c r="F48" s="14"/>
      <c r="G48" s="13" t="s">
        <v>950</v>
      </c>
      <c r="H48"/>
      <c r="I48"/>
      <c r="J48"/>
      <c r="K48"/>
      <c r="L48"/>
      <c r="M48"/>
      <c r="N48"/>
      <c r="O48"/>
      <c r="P48"/>
      <c r="Q48"/>
      <c r="R48"/>
      <c r="S48"/>
      <c r="T48"/>
      <c r="U48"/>
      <c r="V48"/>
      <c r="W48"/>
      <c r="X48"/>
      <c r="Y48"/>
      <c r="Z48"/>
      <c r="AA48"/>
      <c r="AB48"/>
      <c r="AC48"/>
      <c r="AD48"/>
      <c r="AE48"/>
      <c r="AF48"/>
      <c r="AG48"/>
      <c r="AH48"/>
      <c r="AI48"/>
      <c r="AJ48"/>
      <c r="AK48"/>
      <c r="AL48"/>
      <c r="AM48"/>
      <c r="AN48"/>
      <c r="AO48"/>
      <c r="AP48"/>
    </row>
    <row r="49" spans="1:42" s="16" customFormat="1" ht="30" customHeight="1" x14ac:dyDescent="0.25">
      <c r="A49" s="14" t="str">
        <f t="shared" si="0"/>
        <v>CL-046</v>
      </c>
      <c r="B49" s="15" t="s">
        <v>138</v>
      </c>
      <c r="C49" s="15" t="s">
        <v>764</v>
      </c>
      <c r="D49" s="18" t="s">
        <v>7</v>
      </c>
      <c r="E49" s="17" t="s">
        <v>963</v>
      </c>
      <c r="F49" s="13" t="s">
        <v>964</v>
      </c>
      <c r="G49" s="13" t="s">
        <v>957</v>
      </c>
      <c r="H49"/>
      <c r="I49"/>
      <c r="J49"/>
      <c r="K49"/>
      <c r="L49"/>
      <c r="M49"/>
      <c r="N49"/>
      <c r="O49"/>
      <c r="P49"/>
      <c r="Q49"/>
      <c r="R49"/>
      <c r="S49"/>
      <c r="T49"/>
      <c r="U49"/>
      <c r="V49"/>
      <c r="W49"/>
      <c r="X49"/>
      <c r="Y49"/>
      <c r="Z49"/>
      <c r="AA49"/>
      <c r="AB49"/>
      <c r="AC49"/>
      <c r="AD49"/>
      <c r="AE49"/>
      <c r="AF49"/>
      <c r="AG49"/>
      <c r="AH49"/>
      <c r="AI49"/>
      <c r="AJ49"/>
      <c r="AK49"/>
      <c r="AL49"/>
      <c r="AM49"/>
      <c r="AN49"/>
      <c r="AO49"/>
      <c r="AP49"/>
    </row>
    <row r="50" spans="1:42" s="16" customFormat="1" ht="25.5" x14ac:dyDescent="0.25">
      <c r="A50" s="14" t="str">
        <f t="shared" si="0"/>
        <v>CL-047</v>
      </c>
      <c r="B50" s="15" t="s">
        <v>138</v>
      </c>
      <c r="C50" s="15" t="s">
        <v>775</v>
      </c>
      <c r="D50" s="18" t="s">
        <v>6</v>
      </c>
      <c r="E50" s="14"/>
      <c r="F50" s="14"/>
      <c r="G50" s="13" t="s">
        <v>958</v>
      </c>
      <c r="H50"/>
      <c r="I50"/>
      <c r="J50"/>
      <c r="K50"/>
      <c r="L50"/>
      <c r="M50"/>
      <c r="N50"/>
      <c r="O50"/>
      <c r="P50"/>
      <c r="Q50"/>
      <c r="R50"/>
      <c r="S50"/>
      <c r="T50"/>
      <c r="U50"/>
      <c r="V50"/>
      <c r="W50"/>
      <c r="X50"/>
      <c r="Y50"/>
      <c r="Z50"/>
      <c r="AA50"/>
      <c r="AB50"/>
      <c r="AC50"/>
      <c r="AD50"/>
      <c r="AE50"/>
      <c r="AF50"/>
      <c r="AG50"/>
      <c r="AH50"/>
      <c r="AI50"/>
      <c r="AJ50"/>
      <c r="AK50"/>
      <c r="AL50"/>
      <c r="AM50"/>
      <c r="AN50"/>
      <c r="AO50"/>
      <c r="AP50"/>
    </row>
    <row r="51" spans="1:42" s="16" customFormat="1" ht="30" customHeight="1" x14ac:dyDescent="0.25">
      <c r="A51" s="14" t="str">
        <f t="shared" si="0"/>
        <v>CL-048</v>
      </c>
      <c r="B51" s="15" t="s">
        <v>139</v>
      </c>
      <c r="C51" s="15" t="s">
        <v>770</v>
      </c>
      <c r="D51" s="18" t="s">
        <v>6</v>
      </c>
      <c r="E51" s="14"/>
      <c r="F51" s="14"/>
      <c r="G51" s="13" t="s">
        <v>959</v>
      </c>
      <c r="H51"/>
      <c r="I51"/>
      <c r="J51"/>
      <c r="K51"/>
      <c r="L51"/>
      <c r="M51"/>
      <c r="N51"/>
      <c r="O51"/>
      <c r="P51"/>
      <c r="Q51"/>
      <c r="R51"/>
      <c r="S51"/>
      <c r="T51"/>
      <c r="U51"/>
      <c r="V51"/>
      <c r="W51"/>
      <c r="X51"/>
      <c r="Y51"/>
      <c r="Z51"/>
      <c r="AA51"/>
      <c r="AB51"/>
      <c r="AC51"/>
      <c r="AD51"/>
      <c r="AE51"/>
      <c r="AF51"/>
      <c r="AG51"/>
      <c r="AH51"/>
      <c r="AI51"/>
      <c r="AJ51"/>
      <c r="AK51"/>
      <c r="AL51"/>
      <c r="AM51"/>
      <c r="AN51"/>
      <c r="AO51"/>
      <c r="AP51"/>
    </row>
    <row r="52" spans="1:42" s="16" customFormat="1" ht="30" customHeight="1" x14ac:dyDescent="0.25">
      <c r="A52" s="14" t="str">
        <f t="shared" si="0"/>
        <v>CL-049</v>
      </c>
      <c r="B52" s="15" t="s">
        <v>139</v>
      </c>
      <c r="C52" s="15" t="s">
        <v>774</v>
      </c>
      <c r="D52" s="18" t="s">
        <v>6</v>
      </c>
      <c r="E52" s="14"/>
      <c r="F52" s="14"/>
      <c r="G52" s="13" t="s">
        <v>960</v>
      </c>
      <c r="H52"/>
      <c r="I52"/>
      <c r="J52"/>
      <c r="K52"/>
      <c r="L52"/>
      <c r="M52"/>
      <c r="N52"/>
      <c r="O52"/>
      <c r="P52"/>
      <c r="Q52"/>
      <c r="R52"/>
      <c r="S52"/>
      <c r="T52"/>
      <c r="U52"/>
      <c r="V52"/>
      <c r="W52"/>
      <c r="X52"/>
      <c r="Y52"/>
      <c r="Z52"/>
      <c r="AA52"/>
      <c r="AB52"/>
      <c r="AC52"/>
      <c r="AD52"/>
      <c r="AE52"/>
      <c r="AF52"/>
      <c r="AG52"/>
      <c r="AH52"/>
      <c r="AI52"/>
      <c r="AJ52"/>
      <c r="AK52"/>
      <c r="AL52"/>
      <c r="AM52"/>
      <c r="AN52"/>
      <c r="AO52"/>
      <c r="AP52"/>
    </row>
    <row r="53" spans="1:42" s="16" customFormat="1" ht="51" x14ac:dyDescent="0.25">
      <c r="A53" s="14" t="str">
        <f t="shared" si="0"/>
        <v>CL-050</v>
      </c>
      <c r="B53" s="15" t="s">
        <v>947</v>
      </c>
      <c r="C53" s="15" t="s">
        <v>756</v>
      </c>
      <c r="D53" s="18" t="s">
        <v>7</v>
      </c>
      <c r="E53" s="17" t="s">
        <v>939</v>
      </c>
      <c r="F53" s="14" t="s">
        <v>942</v>
      </c>
      <c r="G53" s="13" t="s">
        <v>955</v>
      </c>
      <c r="H53"/>
      <c r="I53"/>
      <c r="J53"/>
      <c r="K53"/>
      <c r="L53"/>
      <c r="M53"/>
      <c r="N53"/>
      <c r="O53"/>
      <c r="P53"/>
      <c r="Q53"/>
      <c r="R53"/>
      <c r="S53"/>
      <c r="T53"/>
      <c r="U53"/>
      <c r="V53"/>
      <c r="W53"/>
      <c r="X53"/>
      <c r="Y53"/>
      <c r="Z53"/>
      <c r="AA53"/>
      <c r="AB53"/>
      <c r="AC53"/>
      <c r="AD53"/>
      <c r="AE53"/>
      <c r="AF53"/>
      <c r="AG53"/>
      <c r="AH53"/>
      <c r="AI53"/>
      <c r="AJ53"/>
      <c r="AK53"/>
      <c r="AL53"/>
      <c r="AM53"/>
      <c r="AN53"/>
      <c r="AO53"/>
      <c r="AP53"/>
    </row>
    <row r="54" spans="1:42" s="16" customFormat="1" ht="30" customHeight="1" x14ac:dyDescent="0.25">
      <c r="A54" s="14" t="str">
        <f t="shared" si="0"/>
        <v>CL-051</v>
      </c>
      <c r="B54" s="15" t="s">
        <v>139</v>
      </c>
      <c r="C54" s="14" t="s">
        <v>177</v>
      </c>
      <c r="D54" s="18" t="s">
        <v>6</v>
      </c>
      <c r="E54" s="14"/>
      <c r="F54" s="14"/>
      <c r="G54" s="15" t="s">
        <v>961</v>
      </c>
    </row>
    <row r="55" spans="1:42" s="16" customFormat="1" ht="30" customHeight="1" x14ac:dyDescent="0.25">
      <c r="A55" s="14" t="str">
        <f t="shared" si="0"/>
        <v>CL-052</v>
      </c>
      <c r="B55" s="15" t="s">
        <v>139</v>
      </c>
      <c r="C55" s="14" t="s">
        <v>178</v>
      </c>
      <c r="D55" s="18" t="s">
        <v>6</v>
      </c>
      <c r="E55" s="14"/>
      <c r="F55" s="14"/>
      <c r="G55" s="15" t="s">
        <v>962</v>
      </c>
    </row>
    <row r="56" spans="1:42" x14ac:dyDescent="0.25">
      <c r="A56" s="2"/>
      <c r="B56" s="2"/>
      <c r="C56" s="2"/>
      <c r="D56" s="2"/>
      <c r="E56" s="2"/>
      <c r="F56" s="2"/>
      <c r="G56" s="2"/>
    </row>
    <row r="57" spans="1:42" x14ac:dyDescent="0.25">
      <c r="A57" s="2"/>
      <c r="B57" s="2"/>
      <c r="C57" s="2"/>
      <c r="D57" s="2"/>
      <c r="E57" s="2"/>
      <c r="F57" s="2"/>
      <c r="G57" s="2"/>
    </row>
    <row r="58" spans="1:42" x14ac:dyDescent="0.25">
      <c r="A58" s="2"/>
      <c r="B58" s="2"/>
      <c r="C58" s="2"/>
      <c r="D58" s="2"/>
      <c r="E58" s="2"/>
      <c r="F58" s="2"/>
      <c r="G58" s="2"/>
    </row>
    <row r="59" spans="1:42" x14ac:dyDescent="0.25">
      <c r="A59" s="2"/>
      <c r="B59" s="2"/>
      <c r="C59" s="2"/>
      <c r="D59" s="2"/>
      <c r="E59" s="2"/>
      <c r="F59" s="2"/>
      <c r="G59" s="2"/>
    </row>
    <row r="60" spans="1:42" x14ac:dyDescent="0.25">
      <c r="A60" s="2"/>
      <c r="B60" s="2"/>
      <c r="C60" s="2"/>
      <c r="D60" s="2"/>
      <c r="E60" s="2"/>
      <c r="F60" s="2"/>
      <c r="G60" s="2"/>
    </row>
    <row r="61" spans="1:42" x14ac:dyDescent="0.25">
      <c r="A61" s="2"/>
      <c r="B61" s="2"/>
      <c r="C61" s="2"/>
      <c r="D61" s="2"/>
      <c r="E61" s="2"/>
      <c r="F61" s="2"/>
      <c r="G61" s="2"/>
    </row>
    <row r="62" spans="1:42" x14ac:dyDescent="0.25">
      <c r="A62" s="2"/>
      <c r="B62" s="2"/>
      <c r="C62" s="2"/>
      <c r="D62" s="2"/>
      <c r="E62" s="2"/>
      <c r="F62" s="2"/>
      <c r="G62" s="2"/>
    </row>
    <row r="63" spans="1:42" x14ac:dyDescent="0.25">
      <c r="A63" s="2"/>
      <c r="B63" s="2"/>
      <c r="C63" s="2"/>
      <c r="D63" s="2"/>
      <c r="E63" s="2"/>
      <c r="F63" s="2"/>
      <c r="G63" s="2"/>
    </row>
    <row r="64" spans="1:42" x14ac:dyDescent="0.25">
      <c r="A64" s="2"/>
      <c r="B64" s="2"/>
      <c r="C64" s="2"/>
      <c r="D64" s="2"/>
      <c r="E64" s="2"/>
      <c r="F64" s="2"/>
      <c r="G64" s="2"/>
    </row>
    <row r="65" spans="1:7" x14ac:dyDescent="0.25">
      <c r="A65" s="2"/>
      <c r="B65" s="2"/>
      <c r="C65" s="2"/>
      <c r="D65" s="2"/>
      <c r="E65" s="2"/>
      <c r="F65" s="2"/>
      <c r="G65" s="2"/>
    </row>
    <row r="66" spans="1:7" x14ac:dyDescent="0.25">
      <c r="A66" s="2"/>
      <c r="B66" s="2"/>
      <c r="C66" s="2"/>
      <c r="D66" s="2"/>
      <c r="E66" s="2"/>
      <c r="F66" s="2"/>
      <c r="G66" s="2"/>
    </row>
    <row r="67" spans="1:7" x14ac:dyDescent="0.25">
      <c r="A67" s="2"/>
      <c r="B67" s="2"/>
      <c r="C67" s="2"/>
      <c r="D67" s="2"/>
      <c r="E67" s="2"/>
      <c r="F67" s="2"/>
      <c r="G67" s="2"/>
    </row>
    <row r="68" spans="1:7" x14ac:dyDescent="0.25">
      <c r="A68" s="2"/>
      <c r="B68" s="2"/>
      <c r="C68" s="2"/>
      <c r="D68" s="2"/>
      <c r="E68" s="2"/>
      <c r="F68" s="2"/>
      <c r="G68" s="2"/>
    </row>
    <row r="69" spans="1:7" x14ac:dyDescent="0.25">
      <c r="A69" s="2"/>
      <c r="B69" s="2"/>
      <c r="C69" s="2"/>
      <c r="D69" s="2"/>
      <c r="E69" s="2"/>
      <c r="F69" s="2"/>
      <c r="G69" s="2"/>
    </row>
    <row r="70" spans="1:7" x14ac:dyDescent="0.25">
      <c r="A70" s="2"/>
      <c r="B70" s="2"/>
      <c r="C70" s="2"/>
      <c r="D70" s="2"/>
      <c r="E70" s="2"/>
      <c r="F70" s="2"/>
      <c r="G70" s="2"/>
    </row>
    <row r="71" spans="1:7" x14ac:dyDescent="0.25">
      <c r="A71" s="2"/>
      <c r="B71" s="2"/>
      <c r="C71" s="2"/>
      <c r="D71" s="2"/>
      <c r="E71" s="2"/>
      <c r="F71" s="2"/>
      <c r="G71" s="2"/>
    </row>
    <row r="72" spans="1:7" x14ac:dyDescent="0.25">
      <c r="A72" s="2"/>
      <c r="B72" s="2"/>
      <c r="C72" s="2"/>
      <c r="D72" s="2"/>
      <c r="E72" s="2"/>
      <c r="F72" s="2"/>
      <c r="G72" s="2"/>
    </row>
    <row r="73" spans="1:7" x14ac:dyDescent="0.25">
      <c r="A73" s="2"/>
      <c r="B73" s="2"/>
      <c r="C73" s="2"/>
      <c r="D73" s="2"/>
      <c r="E73" s="2"/>
      <c r="F73" s="2"/>
      <c r="G73" s="2"/>
    </row>
    <row r="74" spans="1:7" x14ac:dyDescent="0.25">
      <c r="A74" s="2"/>
      <c r="B74" s="2"/>
      <c r="C74" s="2"/>
      <c r="D74" s="2"/>
      <c r="E74" s="2"/>
      <c r="F74" s="2"/>
      <c r="G74" s="2"/>
    </row>
    <row r="75" spans="1:7" x14ac:dyDescent="0.25">
      <c r="A75" s="2"/>
      <c r="B75" s="2"/>
      <c r="C75" s="2"/>
      <c r="D75" s="2"/>
      <c r="E75" s="2"/>
      <c r="F75" s="2"/>
      <c r="G75" s="2"/>
    </row>
    <row r="76" spans="1:7" x14ac:dyDescent="0.25">
      <c r="A76" s="2"/>
      <c r="B76" s="2"/>
      <c r="C76" s="2"/>
      <c r="D76" s="2"/>
      <c r="E76" s="2"/>
      <c r="F76" s="2"/>
      <c r="G76" s="2"/>
    </row>
    <row r="77" spans="1:7" x14ac:dyDescent="0.25">
      <c r="A77" s="2"/>
      <c r="B77" s="2"/>
      <c r="C77" s="2"/>
      <c r="D77" s="2"/>
      <c r="E77" s="2"/>
      <c r="F77" s="2"/>
      <c r="G77" s="2"/>
    </row>
    <row r="78" spans="1:7" x14ac:dyDescent="0.25">
      <c r="A78" s="2"/>
      <c r="B78" s="2"/>
      <c r="C78" s="2"/>
      <c r="D78" s="2"/>
      <c r="E78" s="2"/>
      <c r="F78" s="2"/>
      <c r="G78" s="2"/>
    </row>
    <row r="79" spans="1:7" x14ac:dyDescent="0.25">
      <c r="A79" s="2"/>
      <c r="B79" s="2"/>
      <c r="C79" s="2"/>
      <c r="D79" s="2"/>
      <c r="E79" s="2"/>
      <c r="F79" s="2"/>
      <c r="G79" s="2"/>
    </row>
    <row r="80" spans="1:7" x14ac:dyDescent="0.25">
      <c r="A80" s="2"/>
      <c r="B80" s="2"/>
      <c r="C80" s="2"/>
      <c r="D80" s="2"/>
      <c r="E80" s="2"/>
      <c r="F80" s="2"/>
      <c r="G80" s="2"/>
    </row>
    <row r="81" spans="1:7" x14ac:dyDescent="0.25">
      <c r="A81" s="2"/>
      <c r="B81" s="2"/>
      <c r="C81" s="2"/>
      <c r="D81" s="2"/>
      <c r="E81" s="2"/>
      <c r="F81" s="2"/>
      <c r="G81" s="2"/>
    </row>
    <row r="82" spans="1:7" x14ac:dyDescent="0.25">
      <c r="A82" s="2"/>
      <c r="B82" s="2"/>
      <c r="C82" s="2"/>
      <c r="D82" s="2"/>
      <c r="E82" s="2"/>
      <c r="F82" s="2"/>
      <c r="G82" s="2"/>
    </row>
    <row r="83" spans="1:7" x14ac:dyDescent="0.25">
      <c r="A83" s="2"/>
      <c r="B83" s="2"/>
      <c r="C83" s="2"/>
      <c r="D83" s="2"/>
      <c r="E83" s="2"/>
      <c r="F83" s="2"/>
      <c r="G83" s="2"/>
    </row>
    <row r="84" spans="1:7" x14ac:dyDescent="0.25">
      <c r="A84" s="2"/>
      <c r="B84" s="2"/>
      <c r="C84" s="2"/>
      <c r="D84" s="2"/>
      <c r="E84" s="2"/>
      <c r="F84" s="2"/>
      <c r="G84" s="2"/>
    </row>
    <row r="85" spans="1:7" x14ac:dyDescent="0.25">
      <c r="A85" s="2"/>
      <c r="B85" s="2"/>
      <c r="C85" s="2"/>
      <c r="D85" s="2"/>
      <c r="E85" s="2"/>
      <c r="F85" s="2"/>
      <c r="G85" s="2"/>
    </row>
    <row r="86" spans="1:7" x14ac:dyDescent="0.25">
      <c r="A86" s="2"/>
      <c r="B86" s="2"/>
      <c r="C86" s="2"/>
      <c r="D86" s="2"/>
      <c r="E86" s="2"/>
      <c r="F86" s="2"/>
      <c r="G86" s="2"/>
    </row>
    <row r="87" spans="1:7" x14ac:dyDescent="0.25">
      <c r="A87" s="2"/>
      <c r="B87" s="2"/>
      <c r="C87" s="2"/>
      <c r="D87" s="2"/>
      <c r="E87" s="2"/>
      <c r="F87" s="2"/>
      <c r="G87" s="2"/>
    </row>
    <row r="88" spans="1:7" x14ac:dyDescent="0.25">
      <c r="A88" s="2"/>
      <c r="B88" s="2"/>
      <c r="C88" s="2"/>
      <c r="D88" s="2"/>
      <c r="E88" s="2"/>
      <c r="F88" s="2"/>
      <c r="G88" s="2"/>
    </row>
    <row r="89" spans="1:7" x14ac:dyDescent="0.25">
      <c r="A89" s="2"/>
      <c r="B89" s="2"/>
      <c r="C89" s="2"/>
      <c r="D89" s="2"/>
      <c r="E89" s="2"/>
      <c r="F89" s="2"/>
      <c r="G89" s="2"/>
    </row>
    <row r="90" spans="1:7" x14ac:dyDescent="0.25">
      <c r="A90" s="2"/>
      <c r="B90" s="2"/>
      <c r="C90" s="2"/>
      <c r="D90" s="2"/>
      <c r="E90" s="2"/>
      <c r="F90" s="2"/>
      <c r="G90" s="2"/>
    </row>
    <row r="91" spans="1:7" x14ac:dyDescent="0.25">
      <c r="A91" s="2"/>
      <c r="B91" s="2"/>
      <c r="C91" s="2"/>
      <c r="D91" s="2"/>
      <c r="E91" s="2"/>
      <c r="F91" s="2"/>
      <c r="G91" s="2"/>
    </row>
    <row r="92" spans="1:7" x14ac:dyDescent="0.25">
      <c r="A92" s="2"/>
      <c r="B92" s="2"/>
      <c r="C92" s="2"/>
      <c r="D92" s="2"/>
      <c r="E92" s="2"/>
      <c r="F92" s="2"/>
      <c r="G92" s="2"/>
    </row>
    <row r="93" spans="1:7" x14ac:dyDescent="0.25">
      <c r="A93" s="2"/>
      <c r="B93" s="2"/>
      <c r="C93" s="2"/>
      <c r="D93" s="2"/>
      <c r="E93" s="2"/>
      <c r="F93" s="2"/>
      <c r="G93" s="2"/>
    </row>
    <row r="94" spans="1:7" x14ac:dyDescent="0.25">
      <c r="A94" s="2"/>
      <c r="B94" s="2"/>
      <c r="C94" s="2"/>
      <c r="D94" s="2"/>
      <c r="E94" s="2"/>
      <c r="F94" s="2"/>
      <c r="G94" s="2"/>
    </row>
    <row r="95" spans="1:7" x14ac:dyDescent="0.25">
      <c r="A95" s="2"/>
      <c r="B95" s="2"/>
      <c r="C95" s="2"/>
      <c r="D95" s="2"/>
      <c r="E95" s="2"/>
      <c r="F95" s="2"/>
      <c r="G95" s="2"/>
    </row>
    <row r="96" spans="1:7" x14ac:dyDescent="0.25">
      <c r="A96" s="2"/>
      <c r="B96" s="2"/>
      <c r="C96" s="2"/>
      <c r="D96" s="2"/>
      <c r="E96" s="2"/>
      <c r="F96" s="2"/>
      <c r="G96" s="2"/>
    </row>
    <row r="97" spans="1:7" x14ac:dyDescent="0.25">
      <c r="A97" s="2"/>
      <c r="B97" s="2"/>
      <c r="C97" s="2"/>
      <c r="D97" s="2"/>
      <c r="E97" s="2"/>
      <c r="F97" s="2"/>
      <c r="G97" s="2"/>
    </row>
    <row r="98" spans="1:7" x14ac:dyDescent="0.25">
      <c r="A98" s="2"/>
      <c r="B98" s="2"/>
      <c r="C98" s="2"/>
      <c r="D98" s="2"/>
      <c r="E98" s="2"/>
      <c r="F98" s="2"/>
      <c r="G98" s="2"/>
    </row>
    <row r="99" spans="1:7" x14ac:dyDescent="0.25">
      <c r="A99" s="2"/>
      <c r="B99" s="2"/>
      <c r="C99" s="2"/>
      <c r="D99" s="2"/>
      <c r="E99" s="2"/>
      <c r="F99" s="2"/>
      <c r="G99" s="2"/>
    </row>
    <row r="100" spans="1:7" x14ac:dyDescent="0.25">
      <c r="A100" s="2"/>
      <c r="B100" s="2"/>
      <c r="C100" s="2"/>
      <c r="D100" s="2"/>
      <c r="E100" s="2"/>
      <c r="F100" s="2"/>
      <c r="G100" s="2"/>
    </row>
    <row r="101" spans="1:7" x14ac:dyDescent="0.25">
      <c r="A101" s="2"/>
      <c r="B101" s="2"/>
      <c r="C101" s="2"/>
      <c r="D101" s="2"/>
      <c r="E101" s="2"/>
      <c r="F101" s="2"/>
      <c r="G101" s="2"/>
    </row>
    <row r="102" spans="1:7" x14ac:dyDescent="0.25">
      <c r="A102" s="2"/>
      <c r="B102" s="2"/>
      <c r="C102" s="2"/>
      <c r="D102" s="2"/>
      <c r="E102" s="2"/>
      <c r="F102" s="2"/>
      <c r="G102" s="2"/>
    </row>
    <row r="103" spans="1:7" x14ac:dyDescent="0.25">
      <c r="A103" s="2"/>
      <c r="B103" s="2"/>
      <c r="C103" s="2"/>
      <c r="D103" s="2"/>
      <c r="E103" s="2"/>
      <c r="F103" s="2"/>
      <c r="G103" s="2"/>
    </row>
    <row r="104" spans="1:7" x14ac:dyDescent="0.25">
      <c r="A104" s="2"/>
      <c r="B104" s="2"/>
      <c r="C104" s="2"/>
      <c r="D104" s="2"/>
      <c r="E104" s="2"/>
      <c r="F104" s="2"/>
      <c r="G104" s="2"/>
    </row>
    <row r="105" spans="1:7" x14ac:dyDescent="0.25">
      <c r="A105" s="2"/>
      <c r="B105" s="2"/>
      <c r="C105" s="2"/>
      <c r="D105" s="2"/>
      <c r="E105" s="2"/>
      <c r="F105" s="2"/>
      <c r="G105" s="2"/>
    </row>
    <row r="106" spans="1:7" x14ac:dyDescent="0.25">
      <c r="A106" s="2"/>
      <c r="B106" s="2"/>
      <c r="C106" s="2"/>
      <c r="D106" s="2"/>
      <c r="E106" s="2"/>
      <c r="F106" s="2"/>
      <c r="G106" s="2"/>
    </row>
    <row r="107" spans="1:7" x14ac:dyDescent="0.25">
      <c r="A107" s="2"/>
      <c r="B107" s="2"/>
      <c r="C107" s="2"/>
      <c r="D107" s="2"/>
      <c r="E107" s="2"/>
      <c r="F107" s="2"/>
      <c r="G107" s="2"/>
    </row>
    <row r="108" spans="1:7" x14ac:dyDescent="0.25">
      <c r="A108" s="2"/>
      <c r="B108" s="2"/>
      <c r="C108" s="2"/>
      <c r="D108" s="2"/>
      <c r="E108" s="2"/>
      <c r="F108" s="2"/>
      <c r="G108" s="2"/>
    </row>
    <row r="109" spans="1:7" x14ac:dyDescent="0.25">
      <c r="A109" s="2"/>
      <c r="B109" s="2"/>
      <c r="C109" s="2"/>
      <c r="D109" s="2"/>
      <c r="E109" s="2"/>
      <c r="F109" s="2"/>
      <c r="G109" s="2"/>
    </row>
    <row r="110" spans="1:7" x14ac:dyDescent="0.25">
      <c r="A110" s="2"/>
      <c r="B110" s="2"/>
      <c r="C110" s="2"/>
      <c r="D110" s="2"/>
      <c r="E110" s="2"/>
      <c r="F110" s="2"/>
      <c r="G110" s="2"/>
    </row>
    <row r="111" spans="1:7" x14ac:dyDescent="0.25">
      <c r="A111" s="2"/>
      <c r="B111" s="2"/>
      <c r="C111" s="2"/>
      <c r="D111" s="2"/>
      <c r="E111" s="2"/>
      <c r="F111" s="2"/>
      <c r="G111" s="2"/>
    </row>
    <row r="112" spans="1:7" x14ac:dyDescent="0.25">
      <c r="A112" s="2"/>
      <c r="B112" s="2"/>
      <c r="C112" s="2"/>
      <c r="D112" s="2"/>
      <c r="E112" s="2"/>
      <c r="F112" s="2"/>
      <c r="G112" s="2"/>
    </row>
    <row r="113" spans="1:7" x14ac:dyDescent="0.25">
      <c r="A113" s="2"/>
      <c r="B113" s="2"/>
      <c r="C113" s="2"/>
      <c r="D113" s="2"/>
      <c r="E113" s="2"/>
      <c r="F113" s="2"/>
      <c r="G113" s="2"/>
    </row>
    <row r="114" spans="1:7" x14ac:dyDescent="0.25">
      <c r="A114" s="2"/>
      <c r="B114" s="2"/>
      <c r="C114" s="2"/>
      <c r="D114" s="2"/>
      <c r="E114" s="2"/>
      <c r="F114" s="2"/>
      <c r="G114" s="2"/>
    </row>
    <row r="115" spans="1:7" x14ac:dyDescent="0.25">
      <c r="A115" s="2"/>
      <c r="B115" s="2"/>
      <c r="C115" s="2"/>
      <c r="D115" s="2"/>
      <c r="E115" s="2"/>
      <c r="F115" s="2"/>
      <c r="G115" s="2"/>
    </row>
    <row r="116" spans="1:7" x14ac:dyDescent="0.25">
      <c r="A116" s="2"/>
      <c r="B116" s="2"/>
      <c r="C116" s="2"/>
      <c r="D116" s="2"/>
      <c r="E116" s="2"/>
      <c r="F116" s="2"/>
      <c r="G116" s="2"/>
    </row>
    <row r="117" spans="1:7" x14ac:dyDescent="0.25">
      <c r="A117" s="2"/>
      <c r="B117" s="2"/>
      <c r="C117" s="2"/>
      <c r="D117" s="2"/>
      <c r="E117" s="2"/>
      <c r="F117" s="2"/>
      <c r="G117" s="2"/>
    </row>
    <row r="118" spans="1:7" x14ac:dyDescent="0.25">
      <c r="A118" s="2"/>
      <c r="B118" s="2"/>
      <c r="C118" s="2"/>
      <c r="D118" s="2"/>
      <c r="E118" s="2"/>
      <c r="F118" s="2"/>
      <c r="G118" s="2"/>
    </row>
    <row r="119" spans="1:7" x14ac:dyDescent="0.25">
      <c r="A119" s="2"/>
      <c r="B119" s="2"/>
      <c r="C119" s="2"/>
      <c r="D119" s="2"/>
      <c r="E119" s="2"/>
      <c r="F119" s="2"/>
      <c r="G119" s="2"/>
    </row>
    <row r="120" spans="1:7" x14ac:dyDescent="0.25">
      <c r="A120" s="2"/>
      <c r="B120" s="2"/>
      <c r="C120" s="2"/>
      <c r="D120" s="2"/>
      <c r="E120" s="2"/>
      <c r="F120" s="2"/>
      <c r="G120" s="2"/>
    </row>
    <row r="121" spans="1:7" x14ac:dyDescent="0.25">
      <c r="A121" s="2"/>
      <c r="B121" s="2"/>
      <c r="C121" s="2"/>
      <c r="D121" s="2"/>
      <c r="E121" s="2"/>
      <c r="F121" s="2"/>
      <c r="G121" s="2"/>
    </row>
    <row r="122" spans="1:7" x14ac:dyDescent="0.25">
      <c r="A122" s="2"/>
      <c r="B122" s="2"/>
      <c r="C122" s="2"/>
      <c r="D122" s="2"/>
      <c r="E122" s="2"/>
      <c r="F122" s="2"/>
      <c r="G122" s="2"/>
    </row>
    <row r="123" spans="1:7" x14ac:dyDescent="0.25">
      <c r="A123" s="2"/>
      <c r="B123" s="2"/>
      <c r="C123" s="2"/>
      <c r="D123" s="2"/>
      <c r="E123" s="2"/>
      <c r="F123" s="2"/>
      <c r="G123" s="2"/>
    </row>
    <row r="124" spans="1:7" x14ac:dyDescent="0.25">
      <c r="A124" s="2"/>
      <c r="B124" s="2"/>
      <c r="C124" s="2"/>
      <c r="D124" s="2"/>
      <c r="E124" s="2"/>
      <c r="F124" s="2"/>
      <c r="G124" s="2"/>
    </row>
    <row r="125" spans="1:7" x14ac:dyDescent="0.25">
      <c r="A125" s="2"/>
      <c r="B125" s="2"/>
      <c r="C125" s="2"/>
      <c r="D125" s="2"/>
      <c r="E125" s="2"/>
      <c r="F125" s="2"/>
      <c r="G125" s="2"/>
    </row>
    <row r="126" spans="1:7" x14ac:dyDescent="0.25">
      <c r="A126" s="2"/>
      <c r="B126" s="2"/>
      <c r="C126" s="2"/>
      <c r="D126" s="2"/>
      <c r="E126" s="2"/>
      <c r="F126" s="2"/>
      <c r="G126" s="2"/>
    </row>
    <row r="127" spans="1:7" x14ac:dyDescent="0.25">
      <c r="A127" s="2"/>
      <c r="B127" s="2"/>
      <c r="C127" s="2"/>
      <c r="D127" s="2"/>
      <c r="E127" s="2"/>
      <c r="F127" s="2"/>
      <c r="G127" s="2"/>
    </row>
    <row r="128" spans="1:7" x14ac:dyDescent="0.25">
      <c r="A128" s="2"/>
      <c r="B128" s="2"/>
      <c r="C128" s="2"/>
      <c r="D128" s="2"/>
      <c r="E128" s="2"/>
      <c r="F128" s="2"/>
      <c r="G128" s="2"/>
    </row>
    <row r="129" spans="1:7" x14ac:dyDescent="0.25">
      <c r="A129" s="2"/>
      <c r="B129" s="2"/>
      <c r="C129" s="2"/>
      <c r="D129" s="2"/>
      <c r="E129" s="2"/>
      <c r="F129" s="2"/>
      <c r="G129" s="2"/>
    </row>
    <row r="130" spans="1:7" x14ac:dyDescent="0.25">
      <c r="A130" s="2"/>
      <c r="B130" s="2"/>
      <c r="C130" s="2"/>
      <c r="D130" s="2"/>
      <c r="E130" s="2"/>
      <c r="F130" s="2"/>
      <c r="G130" s="2"/>
    </row>
    <row r="131" spans="1:7" x14ac:dyDescent="0.25">
      <c r="A131" s="2"/>
      <c r="B131" s="2"/>
      <c r="C131" s="2"/>
      <c r="D131" s="2"/>
      <c r="E131" s="2"/>
      <c r="F131" s="2"/>
      <c r="G131" s="2"/>
    </row>
    <row r="132" spans="1:7" x14ac:dyDescent="0.25">
      <c r="A132" s="2"/>
      <c r="B132" s="2"/>
      <c r="C132" s="2"/>
      <c r="D132" s="2"/>
      <c r="E132" s="2"/>
      <c r="F132" s="2"/>
      <c r="G132" s="2"/>
    </row>
    <row r="133" spans="1:7" x14ac:dyDescent="0.25">
      <c r="A133" s="2"/>
      <c r="B133" s="2"/>
      <c r="C133" s="2"/>
      <c r="D133" s="2"/>
      <c r="E133" s="2"/>
      <c r="F133" s="2"/>
      <c r="G133" s="2"/>
    </row>
    <row r="134" spans="1:7" x14ac:dyDescent="0.25">
      <c r="A134" s="2"/>
      <c r="B134" s="2"/>
      <c r="C134" s="2"/>
      <c r="D134" s="2"/>
      <c r="E134" s="2"/>
      <c r="F134" s="2"/>
      <c r="G134" s="2"/>
    </row>
    <row r="135" spans="1:7" x14ac:dyDescent="0.25">
      <c r="A135" s="2"/>
      <c r="B135" s="2"/>
      <c r="C135" s="2"/>
      <c r="D135" s="2"/>
      <c r="E135" s="2"/>
      <c r="F135" s="2"/>
      <c r="G135" s="2"/>
    </row>
    <row r="136" spans="1:7" x14ac:dyDescent="0.25">
      <c r="A136" s="2"/>
      <c r="B136" s="2"/>
      <c r="C136" s="2"/>
      <c r="D136" s="2"/>
      <c r="E136" s="2"/>
      <c r="F136" s="2"/>
      <c r="G136" s="2"/>
    </row>
    <row r="137" spans="1:7" x14ac:dyDescent="0.25">
      <c r="A137" s="2"/>
      <c r="B137" s="2"/>
      <c r="C137" s="2"/>
      <c r="D137" s="2"/>
      <c r="E137" s="2"/>
      <c r="F137" s="2"/>
      <c r="G137" s="2"/>
    </row>
    <row r="138" spans="1:7" x14ac:dyDescent="0.25">
      <c r="A138" s="2"/>
      <c r="B138" s="2"/>
      <c r="C138" s="2"/>
      <c r="D138" s="2"/>
      <c r="E138" s="2"/>
      <c r="F138" s="2"/>
      <c r="G138" s="2"/>
    </row>
    <row r="139" spans="1:7" x14ac:dyDescent="0.25">
      <c r="A139" s="2"/>
      <c r="B139" s="2"/>
      <c r="C139" s="2"/>
      <c r="D139" s="2"/>
      <c r="E139" s="2"/>
      <c r="F139" s="2"/>
      <c r="G139" s="2"/>
    </row>
    <row r="140" spans="1:7" x14ac:dyDescent="0.25">
      <c r="A140" s="2"/>
      <c r="B140" s="2"/>
      <c r="C140" s="2"/>
      <c r="D140" s="2"/>
      <c r="E140" s="2"/>
      <c r="F140" s="2"/>
      <c r="G140" s="2"/>
    </row>
    <row r="141" spans="1:7" x14ac:dyDescent="0.25">
      <c r="A141" s="2"/>
      <c r="B141" s="2"/>
      <c r="C141" s="2"/>
      <c r="D141" s="2"/>
      <c r="E141" s="2"/>
      <c r="F141" s="2"/>
      <c r="G141" s="2"/>
    </row>
    <row r="142" spans="1:7" x14ac:dyDescent="0.25">
      <c r="A142" s="2"/>
      <c r="B142" s="2"/>
      <c r="C142" s="2"/>
      <c r="D142" s="2"/>
      <c r="E142" s="2"/>
      <c r="F142" s="2"/>
      <c r="G142" s="2"/>
    </row>
    <row r="143" spans="1:7" x14ac:dyDescent="0.25">
      <c r="A143" s="2"/>
      <c r="B143" s="2"/>
      <c r="C143" s="2"/>
      <c r="D143" s="2"/>
      <c r="E143" s="2"/>
      <c r="F143" s="2"/>
      <c r="G143" s="2"/>
    </row>
    <row r="144" spans="1:7" x14ac:dyDescent="0.25">
      <c r="A144" s="2"/>
      <c r="B144" s="2"/>
      <c r="C144" s="2"/>
      <c r="D144" s="2"/>
      <c r="E144" s="2"/>
      <c r="F144" s="2"/>
      <c r="G144" s="2"/>
    </row>
    <row r="145" spans="1:7" x14ac:dyDescent="0.25">
      <c r="A145" s="2"/>
      <c r="B145" s="2"/>
      <c r="C145" s="2"/>
      <c r="D145" s="2"/>
      <c r="E145" s="2"/>
      <c r="F145" s="2"/>
      <c r="G145" s="2"/>
    </row>
    <row r="146" spans="1:7" x14ac:dyDescent="0.25">
      <c r="A146" s="2"/>
      <c r="B146" s="2"/>
      <c r="C146" s="2"/>
      <c r="D146" s="2"/>
      <c r="E146" s="2"/>
      <c r="F146" s="2"/>
      <c r="G146" s="2"/>
    </row>
    <row r="147" spans="1:7" x14ac:dyDescent="0.25">
      <c r="A147" s="2"/>
      <c r="B147" s="2"/>
      <c r="C147" s="2"/>
      <c r="D147" s="2"/>
      <c r="E147" s="2"/>
      <c r="F147" s="2"/>
      <c r="G147" s="2"/>
    </row>
    <row r="148" spans="1:7" x14ac:dyDescent="0.25">
      <c r="A148" s="2"/>
      <c r="B148" s="2"/>
      <c r="C148" s="2"/>
      <c r="D148" s="2"/>
      <c r="E148" s="2"/>
      <c r="F148" s="2"/>
      <c r="G148" s="2"/>
    </row>
    <row r="149" spans="1:7" x14ac:dyDescent="0.25">
      <c r="A149" s="2"/>
      <c r="B149" s="2"/>
      <c r="C149" s="2"/>
      <c r="D149" s="2"/>
      <c r="E149" s="2"/>
      <c r="F149" s="2"/>
      <c r="G149" s="2"/>
    </row>
    <row r="150" spans="1:7" x14ac:dyDescent="0.25">
      <c r="A150" s="2"/>
      <c r="B150" s="2"/>
      <c r="C150" s="2"/>
      <c r="D150" s="2"/>
      <c r="E150" s="2"/>
      <c r="F150" s="2"/>
      <c r="G150" s="2"/>
    </row>
    <row r="151" spans="1:7" x14ac:dyDescent="0.25">
      <c r="A151" s="2"/>
      <c r="B151" s="2"/>
      <c r="C151" s="2"/>
      <c r="D151" s="2"/>
      <c r="E151" s="2"/>
      <c r="F151" s="2"/>
      <c r="G151" s="2"/>
    </row>
    <row r="152" spans="1:7" x14ac:dyDescent="0.25">
      <c r="A152" s="2"/>
      <c r="B152" s="2"/>
      <c r="C152" s="2"/>
      <c r="D152" s="2"/>
      <c r="E152" s="2"/>
      <c r="F152" s="2"/>
      <c r="G152" s="2"/>
    </row>
    <row r="153" spans="1:7" x14ac:dyDescent="0.25">
      <c r="A153" s="2"/>
      <c r="B153" s="2"/>
      <c r="C153" s="2"/>
      <c r="D153" s="2"/>
      <c r="E153" s="2"/>
      <c r="F153" s="2"/>
      <c r="G153" s="2"/>
    </row>
    <row r="154" spans="1:7" x14ac:dyDescent="0.25">
      <c r="A154" s="2"/>
      <c r="B154" s="2"/>
      <c r="C154" s="2"/>
      <c r="D154" s="2"/>
      <c r="E154" s="2"/>
      <c r="F154" s="2"/>
      <c r="G154" s="2"/>
    </row>
    <row r="155" spans="1:7" x14ac:dyDescent="0.25">
      <c r="A155" s="2"/>
      <c r="B155" s="2"/>
      <c r="C155" s="2"/>
      <c r="D155" s="2"/>
      <c r="E155" s="2"/>
      <c r="F155" s="2"/>
      <c r="G155" s="2"/>
    </row>
    <row r="156" spans="1:7" x14ac:dyDescent="0.25">
      <c r="A156" s="2"/>
      <c r="B156" s="2"/>
      <c r="C156" s="2"/>
      <c r="D156" s="2"/>
      <c r="E156" s="2"/>
      <c r="F156" s="2"/>
      <c r="G156" s="2"/>
    </row>
    <row r="157" spans="1:7" x14ac:dyDescent="0.25">
      <c r="A157" s="2"/>
      <c r="B157" s="2"/>
      <c r="C157" s="2"/>
      <c r="D157" s="2"/>
      <c r="E157" s="2"/>
      <c r="F157" s="2"/>
      <c r="G157" s="2"/>
    </row>
    <row r="158" spans="1:7" x14ac:dyDescent="0.25">
      <c r="A158" s="2"/>
      <c r="B158" s="2"/>
      <c r="C158" s="2"/>
      <c r="D158" s="2"/>
      <c r="E158" s="2"/>
      <c r="F158" s="2"/>
      <c r="G158" s="2"/>
    </row>
    <row r="159" spans="1:7" x14ac:dyDescent="0.25">
      <c r="A159" s="2"/>
      <c r="B159" s="2"/>
      <c r="C159" s="2"/>
      <c r="D159" s="2"/>
      <c r="E159" s="2"/>
      <c r="F159" s="2"/>
      <c r="G159" s="2"/>
    </row>
    <row r="160" spans="1:7" x14ac:dyDescent="0.25">
      <c r="A160" s="2"/>
      <c r="B160" s="2"/>
      <c r="C160" s="2"/>
      <c r="D160" s="2"/>
      <c r="E160" s="2"/>
      <c r="F160" s="2"/>
      <c r="G160" s="2"/>
    </row>
    <row r="161" spans="1:7" x14ac:dyDescent="0.25">
      <c r="A161" s="2"/>
      <c r="B161" s="2"/>
      <c r="C161" s="2"/>
      <c r="D161" s="2"/>
      <c r="E161" s="2"/>
      <c r="F161" s="2"/>
      <c r="G161" s="2"/>
    </row>
    <row r="162" spans="1:7" x14ac:dyDescent="0.25">
      <c r="A162" s="2"/>
      <c r="B162" s="2"/>
      <c r="C162" s="2"/>
      <c r="D162" s="2"/>
      <c r="E162" s="2"/>
      <c r="F162" s="2"/>
      <c r="G162" s="2"/>
    </row>
    <row r="163" spans="1:7" x14ac:dyDescent="0.25">
      <c r="A163" s="2"/>
      <c r="B163" s="2"/>
      <c r="C163" s="2"/>
      <c r="D163" s="2"/>
      <c r="E163" s="2"/>
      <c r="F163" s="2"/>
      <c r="G163" s="2"/>
    </row>
    <row r="164" spans="1:7" x14ac:dyDescent="0.25">
      <c r="A164" s="2"/>
      <c r="B164" s="2"/>
      <c r="C164" s="2"/>
      <c r="D164" s="2"/>
      <c r="E164" s="2"/>
      <c r="F164" s="2"/>
      <c r="G164" s="2"/>
    </row>
    <row r="165" spans="1:7" x14ac:dyDescent="0.25">
      <c r="A165" s="2"/>
      <c r="B165" s="2"/>
      <c r="C165" s="2"/>
      <c r="D165" s="2"/>
      <c r="E165" s="2"/>
      <c r="F165" s="2"/>
      <c r="G165" s="2"/>
    </row>
    <row r="166" spans="1:7" x14ac:dyDescent="0.25">
      <c r="A166" s="2"/>
      <c r="B166" s="2"/>
      <c r="C166" s="2"/>
      <c r="D166" s="2"/>
      <c r="E166" s="2"/>
      <c r="F166" s="2"/>
      <c r="G166" s="2"/>
    </row>
    <row r="167" spans="1:7" x14ac:dyDescent="0.25">
      <c r="A167" s="2"/>
      <c r="B167" s="2"/>
      <c r="C167" s="2"/>
      <c r="D167" s="2"/>
      <c r="E167" s="2"/>
      <c r="F167" s="2"/>
      <c r="G167" s="2"/>
    </row>
    <row r="168" spans="1:7" x14ac:dyDescent="0.25">
      <c r="A168" s="2"/>
      <c r="B168" s="2"/>
      <c r="C168" s="2"/>
      <c r="D168" s="2"/>
      <c r="E168" s="2"/>
      <c r="F168" s="2"/>
      <c r="G168" s="2"/>
    </row>
    <row r="169" spans="1:7" x14ac:dyDescent="0.25">
      <c r="A169" s="2"/>
      <c r="B169" s="2"/>
      <c r="C169" s="2"/>
      <c r="D169" s="2"/>
      <c r="E169" s="2"/>
      <c r="F169" s="2"/>
      <c r="G169" s="2"/>
    </row>
    <row r="170" spans="1:7" x14ac:dyDescent="0.25">
      <c r="A170" s="2"/>
      <c r="B170" s="2"/>
      <c r="C170" s="2"/>
      <c r="D170" s="2"/>
      <c r="E170" s="2"/>
      <c r="F170" s="2"/>
      <c r="G170" s="2"/>
    </row>
    <row r="171" spans="1:7" x14ac:dyDescent="0.25">
      <c r="A171" s="2"/>
      <c r="B171" s="2"/>
      <c r="C171" s="2"/>
      <c r="D171" s="2"/>
      <c r="E171" s="2"/>
      <c r="F171" s="2"/>
      <c r="G171" s="2"/>
    </row>
    <row r="172" spans="1:7" x14ac:dyDescent="0.25">
      <c r="A172" s="2"/>
      <c r="B172" s="2"/>
      <c r="C172" s="2"/>
      <c r="D172" s="2"/>
      <c r="E172" s="2"/>
      <c r="F172" s="2"/>
      <c r="G172" s="2"/>
    </row>
    <row r="173" spans="1:7" x14ac:dyDescent="0.25">
      <c r="A173" s="2"/>
      <c r="B173" s="2"/>
      <c r="C173" s="2"/>
      <c r="D173" s="2"/>
      <c r="E173" s="2"/>
      <c r="F173" s="2"/>
      <c r="G173" s="2"/>
    </row>
    <row r="174" spans="1:7" x14ac:dyDescent="0.25">
      <c r="A174" s="2"/>
      <c r="B174" s="2"/>
      <c r="C174" s="2"/>
      <c r="D174" s="2"/>
      <c r="E174" s="2"/>
      <c r="F174" s="2"/>
      <c r="G174" s="2"/>
    </row>
    <row r="175" spans="1:7" x14ac:dyDescent="0.25">
      <c r="A175" s="2"/>
      <c r="B175" s="2"/>
      <c r="C175" s="2"/>
      <c r="D175" s="2"/>
      <c r="E175" s="2"/>
      <c r="F175" s="2"/>
      <c r="G175" s="2"/>
    </row>
    <row r="176" spans="1:7" x14ac:dyDescent="0.25">
      <c r="A176" s="2"/>
      <c r="B176" s="2"/>
      <c r="C176" s="2"/>
      <c r="D176" s="2"/>
      <c r="E176" s="2"/>
      <c r="F176" s="2"/>
      <c r="G176" s="2"/>
    </row>
    <row r="177" spans="1:7" x14ac:dyDescent="0.25">
      <c r="A177" s="2"/>
      <c r="B177" s="2"/>
      <c r="C177" s="2"/>
      <c r="D177" s="2"/>
      <c r="E177" s="2"/>
      <c r="F177" s="2"/>
      <c r="G177" s="2"/>
    </row>
    <row r="178" spans="1:7" x14ac:dyDescent="0.25">
      <c r="A178" s="2"/>
      <c r="B178" s="2"/>
      <c r="C178" s="2"/>
      <c r="D178" s="2"/>
      <c r="E178" s="2"/>
      <c r="F178" s="2"/>
      <c r="G178" s="2"/>
    </row>
    <row r="179" spans="1:7" x14ac:dyDescent="0.25">
      <c r="A179" s="2"/>
      <c r="B179" s="2"/>
      <c r="C179" s="2"/>
      <c r="D179" s="2"/>
      <c r="E179" s="2"/>
      <c r="F179" s="2"/>
      <c r="G179" s="2"/>
    </row>
    <row r="180" spans="1:7" x14ac:dyDescent="0.25">
      <c r="A180" s="2"/>
      <c r="B180" s="2"/>
      <c r="C180" s="2"/>
      <c r="D180" s="2"/>
      <c r="E180" s="2"/>
      <c r="F180" s="2"/>
      <c r="G180" s="2"/>
    </row>
    <row r="181" spans="1:7" x14ac:dyDescent="0.25">
      <c r="A181" s="2"/>
      <c r="B181" s="2"/>
      <c r="C181" s="2"/>
      <c r="D181" s="2"/>
      <c r="E181" s="2"/>
      <c r="F181" s="2"/>
      <c r="G181" s="2"/>
    </row>
    <row r="182" spans="1:7" x14ac:dyDescent="0.25">
      <c r="A182" s="2"/>
      <c r="B182" s="2"/>
      <c r="C182" s="2"/>
      <c r="D182" s="2"/>
      <c r="E182" s="2"/>
      <c r="F182" s="2"/>
      <c r="G182" s="2"/>
    </row>
    <row r="183" spans="1:7" x14ac:dyDescent="0.25">
      <c r="A183" s="2"/>
      <c r="B183" s="2"/>
      <c r="C183" s="2"/>
      <c r="D183" s="2"/>
      <c r="E183" s="2"/>
      <c r="F183" s="2"/>
      <c r="G183" s="2"/>
    </row>
    <row r="184" spans="1:7" x14ac:dyDescent="0.25">
      <c r="A184" s="2"/>
      <c r="B184" s="2"/>
      <c r="C184" s="2"/>
      <c r="D184" s="2"/>
      <c r="E184" s="2"/>
      <c r="F184" s="2"/>
      <c r="G184" s="2"/>
    </row>
    <row r="185" spans="1:7" x14ac:dyDescent="0.25">
      <c r="A185" s="2"/>
      <c r="B185" s="2"/>
      <c r="C185" s="2"/>
      <c r="D185" s="2"/>
      <c r="E185" s="2"/>
      <c r="F185" s="2"/>
      <c r="G185" s="2"/>
    </row>
    <row r="186" spans="1:7" x14ac:dyDescent="0.25">
      <c r="A186" s="2"/>
      <c r="B186" s="2"/>
      <c r="C186" s="2"/>
      <c r="D186" s="2"/>
      <c r="E186" s="2"/>
      <c r="F186" s="2"/>
      <c r="G186" s="2"/>
    </row>
    <row r="187" spans="1:7" x14ac:dyDescent="0.25">
      <c r="A187" s="2"/>
      <c r="B187" s="2"/>
      <c r="C187" s="2"/>
      <c r="D187" s="2"/>
      <c r="E187" s="2"/>
      <c r="F187" s="2"/>
      <c r="G187" s="2"/>
    </row>
    <row r="188" spans="1:7" x14ac:dyDescent="0.25">
      <c r="A188" s="2"/>
      <c r="B188" s="2"/>
      <c r="C188" s="2"/>
      <c r="D188" s="2"/>
      <c r="E188" s="2"/>
      <c r="F188" s="2"/>
      <c r="G188" s="2"/>
    </row>
    <row r="189" spans="1:7" x14ac:dyDescent="0.25">
      <c r="A189" s="2"/>
      <c r="B189" s="2"/>
      <c r="C189" s="2"/>
      <c r="D189" s="2"/>
      <c r="E189" s="2"/>
      <c r="F189" s="2"/>
      <c r="G189" s="2"/>
    </row>
    <row r="190" spans="1:7" x14ac:dyDescent="0.25">
      <c r="A190" s="2"/>
      <c r="B190" s="2"/>
      <c r="C190" s="2"/>
      <c r="D190" s="2"/>
      <c r="E190" s="2"/>
      <c r="F190" s="2"/>
      <c r="G190" s="2"/>
    </row>
    <row r="191" spans="1:7" x14ac:dyDescent="0.25">
      <c r="A191" s="2"/>
      <c r="B191" s="2"/>
      <c r="C191" s="2"/>
      <c r="D191" s="2"/>
      <c r="E191" s="2"/>
      <c r="F191" s="2"/>
      <c r="G191" s="2"/>
    </row>
    <row r="192" spans="1:7" x14ac:dyDescent="0.25">
      <c r="A192" s="2"/>
      <c r="B192" s="2"/>
      <c r="C192" s="2"/>
      <c r="D192" s="2"/>
      <c r="E192" s="2"/>
      <c r="F192" s="2"/>
      <c r="G192" s="2"/>
    </row>
    <row r="193" spans="1:7" x14ac:dyDescent="0.25">
      <c r="A193" s="2"/>
      <c r="B193" s="2"/>
      <c r="C193" s="2"/>
      <c r="D193" s="2"/>
      <c r="E193" s="2"/>
      <c r="F193" s="2"/>
      <c r="G193" s="2"/>
    </row>
    <row r="194" spans="1:7" x14ac:dyDescent="0.25">
      <c r="A194" s="2"/>
      <c r="B194" s="2"/>
      <c r="C194" s="2"/>
      <c r="D194" s="2"/>
      <c r="E194" s="2"/>
      <c r="F194" s="2"/>
      <c r="G194" s="2"/>
    </row>
    <row r="195" spans="1:7" x14ac:dyDescent="0.25">
      <c r="A195" s="2"/>
      <c r="B195" s="2"/>
      <c r="C195" s="2"/>
      <c r="D195" s="2"/>
      <c r="E195" s="2"/>
      <c r="F195" s="2"/>
      <c r="G195" s="2"/>
    </row>
    <row r="196" spans="1:7" x14ac:dyDescent="0.25">
      <c r="A196" s="2"/>
      <c r="B196" s="2"/>
      <c r="C196" s="2"/>
      <c r="D196" s="2"/>
      <c r="E196" s="2"/>
      <c r="F196" s="2"/>
      <c r="G196" s="2"/>
    </row>
    <row r="197" spans="1:7" x14ac:dyDescent="0.25">
      <c r="A197" s="2"/>
      <c r="B197" s="2"/>
      <c r="C197" s="2"/>
      <c r="D197" s="2"/>
      <c r="E197" s="2"/>
      <c r="F197" s="2"/>
      <c r="G197" s="2"/>
    </row>
    <row r="198" spans="1:7" x14ac:dyDescent="0.25">
      <c r="A198" s="2"/>
      <c r="B198" s="2"/>
      <c r="C198" s="2"/>
      <c r="D198" s="2"/>
      <c r="E198" s="2"/>
      <c r="F198" s="2"/>
      <c r="G198" s="2"/>
    </row>
    <row r="199" spans="1:7" x14ac:dyDescent="0.25">
      <c r="A199" s="2"/>
      <c r="B199" s="2"/>
      <c r="C199" s="2"/>
      <c r="D199" s="2"/>
      <c r="E199" s="2"/>
      <c r="F199" s="2"/>
      <c r="G199" s="2"/>
    </row>
    <row r="200" spans="1:7" x14ac:dyDescent="0.25">
      <c r="A200" s="2"/>
      <c r="B200" s="2"/>
      <c r="C200" s="2"/>
      <c r="D200" s="2"/>
      <c r="E200" s="2"/>
      <c r="F200" s="2"/>
      <c r="G200" s="2"/>
    </row>
    <row r="201" spans="1:7" x14ac:dyDescent="0.25">
      <c r="A201" s="2"/>
      <c r="B201" s="2"/>
      <c r="C201" s="2"/>
      <c r="D201" s="2"/>
      <c r="E201" s="2"/>
      <c r="F201" s="2"/>
      <c r="G201" s="2"/>
    </row>
    <row r="202" spans="1:7" x14ac:dyDescent="0.25">
      <c r="A202" s="2"/>
      <c r="B202" s="2"/>
      <c r="C202" s="2"/>
      <c r="D202" s="2"/>
      <c r="E202" s="2"/>
      <c r="F202" s="2"/>
      <c r="G202" s="2"/>
    </row>
    <row r="203" spans="1:7" x14ac:dyDescent="0.25">
      <c r="A203" s="2"/>
      <c r="B203" s="2"/>
      <c r="C203" s="2"/>
      <c r="D203" s="2"/>
      <c r="E203" s="2"/>
      <c r="F203" s="2"/>
      <c r="G203" s="2"/>
    </row>
    <row r="204" spans="1:7" x14ac:dyDescent="0.25">
      <c r="A204" s="2"/>
      <c r="B204" s="2"/>
      <c r="C204" s="2"/>
      <c r="D204" s="2"/>
      <c r="E204" s="2"/>
      <c r="F204" s="2"/>
      <c r="G204" s="2"/>
    </row>
    <row r="205" spans="1:7" x14ac:dyDescent="0.25">
      <c r="A205" s="2"/>
      <c r="B205" s="2"/>
      <c r="C205" s="2"/>
      <c r="D205" s="2"/>
      <c r="E205" s="2"/>
      <c r="F205" s="2"/>
      <c r="G205" s="2"/>
    </row>
    <row r="206" spans="1:7" x14ac:dyDescent="0.25">
      <c r="A206" s="2"/>
      <c r="B206" s="2"/>
      <c r="C206" s="2"/>
      <c r="D206" s="2"/>
      <c r="E206" s="2"/>
      <c r="F206" s="2"/>
      <c r="G206" s="2"/>
    </row>
    <row r="207" spans="1:7" x14ac:dyDescent="0.25">
      <c r="A207" s="2"/>
      <c r="B207" s="2"/>
      <c r="C207" s="2"/>
      <c r="D207" s="2"/>
      <c r="E207" s="2"/>
      <c r="F207" s="2"/>
      <c r="G207" s="2"/>
    </row>
    <row r="208" spans="1:7" x14ac:dyDescent="0.25">
      <c r="A208" s="2"/>
      <c r="B208" s="2"/>
      <c r="C208" s="2"/>
      <c r="D208" s="2"/>
      <c r="E208" s="2"/>
      <c r="F208" s="2"/>
      <c r="G208" s="2"/>
    </row>
    <row r="209" spans="1:7" x14ac:dyDescent="0.25">
      <c r="A209" s="2"/>
      <c r="B209" s="2"/>
      <c r="C209" s="2"/>
      <c r="D209" s="2"/>
      <c r="E209" s="2"/>
      <c r="F209" s="2"/>
      <c r="G209" s="2"/>
    </row>
    <row r="210" spans="1:7" x14ac:dyDescent="0.25">
      <c r="A210" s="2"/>
      <c r="B210" s="2"/>
      <c r="C210" s="2"/>
      <c r="D210" s="2"/>
      <c r="E210" s="2"/>
      <c r="F210" s="2"/>
      <c r="G210" s="2"/>
    </row>
    <row r="211" spans="1:7" x14ac:dyDescent="0.25">
      <c r="A211" s="2"/>
      <c r="B211" s="2"/>
      <c r="C211" s="2"/>
      <c r="D211" s="2"/>
      <c r="E211" s="2"/>
      <c r="F211" s="2"/>
      <c r="G211" s="2"/>
    </row>
    <row r="212" spans="1:7" x14ac:dyDescent="0.25">
      <c r="A212" s="2"/>
      <c r="B212" s="2"/>
      <c r="C212" s="2"/>
      <c r="D212" s="2"/>
      <c r="E212" s="2"/>
      <c r="F212" s="2"/>
      <c r="G212" s="2"/>
    </row>
    <row r="213" spans="1:7" x14ac:dyDescent="0.25">
      <c r="A213" s="2"/>
      <c r="B213" s="2"/>
      <c r="C213" s="2"/>
      <c r="D213" s="2"/>
      <c r="E213" s="2"/>
      <c r="F213" s="2"/>
      <c r="G213" s="2"/>
    </row>
    <row r="214" spans="1:7" x14ac:dyDescent="0.25">
      <c r="A214" s="2"/>
      <c r="B214" s="2"/>
      <c r="C214" s="2"/>
      <c r="D214" s="2"/>
      <c r="E214" s="2"/>
      <c r="F214" s="2"/>
      <c r="G214" s="2"/>
    </row>
    <row r="215" spans="1:7" x14ac:dyDescent="0.25">
      <c r="A215" s="2"/>
      <c r="B215" s="2"/>
      <c r="C215" s="2"/>
      <c r="D215" s="2"/>
      <c r="E215" s="2"/>
      <c r="F215" s="2"/>
      <c r="G215" s="2"/>
    </row>
    <row r="216" spans="1:7" x14ac:dyDescent="0.25">
      <c r="A216" s="2"/>
      <c r="B216" s="2"/>
      <c r="C216" s="2"/>
      <c r="D216" s="2"/>
      <c r="E216" s="2"/>
      <c r="F216" s="2"/>
      <c r="G216" s="2"/>
    </row>
    <row r="217" spans="1:7" x14ac:dyDescent="0.25">
      <c r="A217" s="2"/>
      <c r="B217" s="2"/>
      <c r="C217" s="2"/>
      <c r="D217" s="2"/>
      <c r="E217" s="2"/>
      <c r="F217" s="2"/>
      <c r="G217" s="2"/>
    </row>
    <row r="218" spans="1:7" x14ac:dyDescent="0.25">
      <c r="A218" s="2"/>
      <c r="B218" s="2"/>
      <c r="C218" s="2"/>
      <c r="D218" s="2"/>
      <c r="E218" s="2"/>
      <c r="F218" s="2"/>
      <c r="G218" s="2"/>
    </row>
    <row r="219" spans="1:7" x14ac:dyDescent="0.25">
      <c r="A219" s="2"/>
      <c r="B219" s="2"/>
      <c r="C219" s="2"/>
      <c r="D219" s="2"/>
      <c r="E219" s="2"/>
      <c r="F219" s="2"/>
      <c r="G219" s="2"/>
    </row>
    <row r="220" spans="1:7" x14ac:dyDescent="0.25">
      <c r="A220" s="2"/>
      <c r="B220" s="2"/>
      <c r="C220" s="2"/>
      <c r="D220" s="2"/>
      <c r="E220" s="2"/>
      <c r="F220" s="2"/>
      <c r="G220" s="2"/>
    </row>
    <row r="221" spans="1:7" x14ac:dyDescent="0.25">
      <c r="A221" s="2"/>
      <c r="B221" s="2"/>
      <c r="C221" s="2"/>
      <c r="D221" s="2"/>
      <c r="E221" s="2"/>
      <c r="F221" s="2"/>
      <c r="G221" s="2"/>
    </row>
    <row r="222" spans="1:7" x14ac:dyDescent="0.25">
      <c r="A222" s="2"/>
      <c r="B222" s="2"/>
      <c r="C222" s="2"/>
      <c r="D222" s="2"/>
      <c r="E222" s="2"/>
      <c r="F222" s="2"/>
      <c r="G222" s="2"/>
    </row>
    <row r="223" spans="1:7" x14ac:dyDescent="0.25">
      <c r="A223" s="2"/>
      <c r="B223" s="2"/>
      <c r="C223" s="2"/>
      <c r="D223" s="2"/>
      <c r="E223" s="2"/>
      <c r="F223" s="2"/>
      <c r="G223" s="2"/>
    </row>
    <row r="224" spans="1:7" x14ac:dyDescent="0.25">
      <c r="A224" s="2"/>
      <c r="B224" s="2"/>
      <c r="C224" s="2"/>
      <c r="D224" s="2"/>
      <c r="E224" s="2"/>
      <c r="F224" s="2"/>
      <c r="G224" s="2"/>
    </row>
    <row r="225" spans="1:7" x14ac:dyDescent="0.25">
      <c r="A225" s="2"/>
      <c r="B225" s="2"/>
      <c r="C225" s="2"/>
      <c r="D225" s="2"/>
      <c r="E225" s="2"/>
      <c r="F225" s="2"/>
      <c r="G225" s="2"/>
    </row>
    <row r="226" spans="1:7" x14ac:dyDescent="0.25">
      <c r="A226" s="2"/>
      <c r="B226" s="2"/>
      <c r="C226" s="2"/>
      <c r="D226" s="2"/>
      <c r="E226" s="2"/>
      <c r="F226" s="2"/>
      <c r="G226" s="2"/>
    </row>
    <row r="227" spans="1:7" x14ac:dyDescent="0.25">
      <c r="A227" s="2"/>
      <c r="B227" s="2"/>
      <c r="C227" s="2"/>
      <c r="D227" s="2"/>
      <c r="E227" s="2"/>
      <c r="F227" s="2"/>
      <c r="G227" s="2"/>
    </row>
    <row r="228" spans="1:7" x14ac:dyDescent="0.25">
      <c r="A228" s="2"/>
      <c r="B228" s="2"/>
      <c r="C228" s="2"/>
      <c r="D228" s="2"/>
      <c r="E228" s="2"/>
      <c r="F228" s="2"/>
      <c r="G228" s="2"/>
    </row>
    <row r="229" spans="1:7" x14ac:dyDescent="0.25">
      <c r="A229" s="2"/>
      <c r="B229" s="2"/>
      <c r="C229" s="2"/>
      <c r="D229" s="2"/>
      <c r="E229" s="2"/>
      <c r="F229" s="2"/>
      <c r="G229" s="2"/>
    </row>
    <row r="230" spans="1:7" x14ac:dyDescent="0.25">
      <c r="A230" s="2"/>
      <c r="B230" s="2"/>
      <c r="C230" s="2"/>
      <c r="D230" s="2"/>
      <c r="E230" s="2"/>
      <c r="F230" s="2"/>
      <c r="G230" s="2"/>
    </row>
    <row r="231" spans="1:7" x14ac:dyDescent="0.25">
      <c r="A231" s="2"/>
      <c r="B231" s="2"/>
      <c r="C231" s="2"/>
      <c r="D231" s="2"/>
      <c r="E231" s="2"/>
      <c r="F231" s="2"/>
      <c r="G231" s="2"/>
    </row>
    <row r="232" spans="1:7" x14ac:dyDescent="0.25">
      <c r="A232" s="2"/>
      <c r="B232" s="2"/>
      <c r="C232" s="2"/>
      <c r="D232" s="2"/>
      <c r="E232" s="2"/>
      <c r="F232" s="2"/>
      <c r="G232" s="2"/>
    </row>
    <row r="233" spans="1:7" x14ac:dyDescent="0.25">
      <c r="A233" s="2"/>
      <c r="B233" s="2"/>
      <c r="C233" s="2"/>
      <c r="D233" s="2"/>
      <c r="E233" s="2"/>
      <c r="F233" s="2"/>
      <c r="G233" s="2"/>
    </row>
    <row r="234" spans="1:7" x14ac:dyDescent="0.25">
      <c r="A234" s="2"/>
      <c r="B234" s="2"/>
      <c r="C234" s="2"/>
      <c r="D234" s="2"/>
      <c r="E234" s="2"/>
      <c r="F234" s="2"/>
      <c r="G234" s="2"/>
    </row>
    <row r="235" spans="1:7" x14ac:dyDescent="0.25">
      <c r="A235" s="2"/>
      <c r="B235" s="2"/>
      <c r="C235" s="2"/>
      <c r="D235" s="2"/>
      <c r="E235" s="2"/>
      <c r="F235" s="2"/>
      <c r="G235" s="2"/>
    </row>
    <row r="236" spans="1:7" x14ac:dyDescent="0.25">
      <c r="A236" s="2"/>
      <c r="B236" s="2"/>
      <c r="C236" s="2"/>
      <c r="D236" s="2"/>
      <c r="E236" s="2"/>
      <c r="F236" s="2"/>
      <c r="G236" s="2"/>
    </row>
    <row r="237" spans="1:7" x14ac:dyDescent="0.25">
      <c r="A237" s="2"/>
      <c r="B237" s="2"/>
      <c r="C237" s="2"/>
      <c r="D237" s="2"/>
      <c r="E237" s="2"/>
      <c r="F237" s="2"/>
      <c r="G237" s="2"/>
    </row>
    <row r="238" spans="1:7" x14ac:dyDescent="0.25">
      <c r="A238" s="2"/>
      <c r="B238" s="2"/>
      <c r="C238" s="2"/>
      <c r="D238" s="2"/>
      <c r="E238" s="2"/>
      <c r="F238" s="2"/>
      <c r="G238" s="2"/>
    </row>
    <row r="239" spans="1:7" x14ac:dyDescent="0.25">
      <c r="A239" s="2"/>
      <c r="B239" s="2"/>
      <c r="C239" s="2"/>
      <c r="D239" s="2"/>
      <c r="E239" s="2"/>
      <c r="F239" s="2"/>
      <c r="G239" s="2"/>
    </row>
    <row r="240" spans="1:7" x14ac:dyDescent="0.25">
      <c r="A240" s="2"/>
      <c r="B240" s="2"/>
      <c r="C240" s="2"/>
      <c r="D240" s="2"/>
      <c r="E240" s="2"/>
      <c r="F240" s="2"/>
      <c r="G240" s="2"/>
    </row>
    <row r="241" spans="1:7" x14ac:dyDescent="0.25">
      <c r="A241" s="2"/>
      <c r="B241" s="2"/>
      <c r="C241" s="2"/>
      <c r="D241" s="2"/>
      <c r="E241" s="2"/>
      <c r="F241" s="2"/>
      <c r="G241" s="2"/>
    </row>
    <row r="242" spans="1:7" x14ac:dyDescent="0.25">
      <c r="A242" s="2"/>
      <c r="B242" s="2"/>
      <c r="C242" s="2"/>
      <c r="D242" s="2"/>
      <c r="E242" s="2"/>
      <c r="F242" s="2"/>
      <c r="G242" s="2"/>
    </row>
    <row r="243" spans="1:7" x14ac:dyDescent="0.25">
      <c r="A243" s="2"/>
      <c r="B243" s="2"/>
      <c r="C243" s="2"/>
      <c r="D243" s="2"/>
      <c r="E243" s="2"/>
      <c r="F243" s="2"/>
      <c r="G243" s="2"/>
    </row>
    <row r="244" spans="1:7" x14ac:dyDescent="0.25">
      <c r="A244" s="2"/>
      <c r="B244" s="2"/>
      <c r="C244" s="2"/>
      <c r="D244" s="2"/>
      <c r="E244" s="2"/>
      <c r="F244" s="2"/>
      <c r="G244" s="2"/>
    </row>
    <row r="245" spans="1:7" x14ac:dyDescent="0.25">
      <c r="A245" s="2"/>
      <c r="B245" s="2"/>
      <c r="C245" s="2"/>
      <c r="D245" s="2"/>
      <c r="E245" s="2"/>
      <c r="F245" s="2"/>
      <c r="G245" s="2"/>
    </row>
    <row r="246" spans="1:7" x14ac:dyDescent="0.25">
      <c r="A246" s="2"/>
      <c r="B246" s="2"/>
      <c r="C246" s="2"/>
      <c r="D246" s="2"/>
      <c r="E246" s="2"/>
      <c r="F246" s="2"/>
      <c r="G246" s="2"/>
    </row>
    <row r="247" spans="1:7" x14ac:dyDescent="0.25">
      <c r="A247" s="2"/>
      <c r="B247" s="2"/>
      <c r="C247" s="2"/>
      <c r="D247" s="2"/>
      <c r="E247" s="2"/>
      <c r="F247" s="2"/>
      <c r="G247" s="2"/>
    </row>
    <row r="248" spans="1:7" x14ac:dyDescent="0.25">
      <c r="A248" s="2"/>
      <c r="B248" s="2"/>
      <c r="C248" s="2"/>
      <c r="D248" s="2"/>
      <c r="E248" s="2"/>
      <c r="F248" s="2"/>
      <c r="G248" s="2"/>
    </row>
    <row r="249" spans="1:7" x14ac:dyDescent="0.25">
      <c r="A249" s="2"/>
      <c r="B249" s="2"/>
      <c r="C249" s="2"/>
      <c r="D249" s="2"/>
      <c r="E249" s="2"/>
      <c r="F249" s="2"/>
      <c r="G249" s="2"/>
    </row>
    <row r="250" spans="1:7" x14ac:dyDescent="0.25">
      <c r="A250" s="2"/>
      <c r="B250" s="2"/>
      <c r="C250" s="2"/>
      <c r="D250" s="2"/>
      <c r="E250" s="2"/>
      <c r="F250" s="2"/>
      <c r="G250" s="2"/>
    </row>
    <row r="251" spans="1:7" x14ac:dyDescent="0.25">
      <c r="A251" s="2"/>
      <c r="B251" s="2"/>
      <c r="C251" s="2"/>
      <c r="D251" s="2"/>
      <c r="E251" s="2"/>
      <c r="F251" s="2"/>
      <c r="G251" s="2"/>
    </row>
    <row r="252" spans="1:7" x14ac:dyDescent="0.25">
      <c r="A252" s="2"/>
      <c r="B252" s="2"/>
      <c r="C252" s="2"/>
      <c r="D252" s="2"/>
      <c r="E252" s="2"/>
      <c r="F252" s="2"/>
      <c r="G252" s="2"/>
    </row>
    <row r="253" spans="1:7" x14ac:dyDescent="0.25">
      <c r="A253" s="2"/>
      <c r="B253" s="2"/>
      <c r="C253" s="2"/>
      <c r="D253" s="2"/>
      <c r="E253" s="2"/>
      <c r="F253" s="2"/>
      <c r="G253" s="2"/>
    </row>
    <row r="254" spans="1:7" x14ac:dyDescent="0.25">
      <c r="A254" s="2"/>
      <c r="B254" s="2"/>
      <c r="C254" s="2"/>
      <c r="D254" s="2"/>
      <c r="E254" s="2"/>
      <c r="F254" s="2"/>
      <c r="G254" s="2"/>
    </row>
    <row r="255" spans="1:7" x14ac:dyDescent="0.25">
      <c r="A255" s="2"/>
      <c r="B255" s="2"/>
      <c r="C255" s="2"/>
      <c r="D255" s="2"/>
      <c r="E255" s="2"/>
      <c r="F255" s="2"/>
      <c r="G255" s="2"/>
    </row>
    <row r="256" spans="1:7" x14ac:dyDescent="0.25">
      <c r="A256" s="2"/>
      <c r="B256" s="2"/>
      <c r="C256" s="2"/>
      <c r="D256" s="2"/>
      <c r="E256" s="2"/>
      <c r="F256" s="2"/>
      <c r="G256" s="2"/>
    </row>
    <row r="257" spans="1:7" x14ac:dyDescent="0.25">
      <c r="A257" s="2"/>
      <c r="B257" s="2"/>
      <c r="C257" s="2"/>
      <c r="D257" s="2"/>
      <c r="E257" s="2"/>
      <c r="F257" s="2"/>
      <c r="G257" s="2"/>
    </row>
    <row r="258" spans="1:7" x14ac:dyDescent="0.25">
      <c r="A258" s="2"/>
      <c r="B258" s="2"/>
      <c r="C258" s="2"/>
      <c r="D258" s="2"/>
      <c r="E258" s="2"/>
      <c r="F258" s="2"/>
      <c r="G258" s="2"/>
    </row>
    <row r="259" spans="1:7" x14ac:dyDescent="0.25">
      <c r="A259" s="2"/>
      <c r="B259" s="2"/>
      <c r="C259" s="2"/>
      <c r="D259" s="2"/>
      <c r="E259" s="2"/>
      <c r="F259" s="2"/>
      <c r="G259" s="2"/>
    </row>
    <row r="260" spans="1:7" x14ac:dyDescent="0.25">
      <c r="A260" s="2"/>
      <c r="B260" s="2"/>
      <c r="C260" s="2"/>
      <c r="D260" s="2"/>
      <c r="E260" s="2"/>
      <c r="F260" s="2"/>
      <c r="G260" s="2"/>
    </row>
    <row r="261" spans="1:7" x14ac:dyDescent="0.25">
      <c r="A261" s="2"/>
      <c r="B261" s="2"/>
      <c r="C261" s="2"/>
      <c r="D261" s="2"/>
      <c r="E261" s="2"/>
      <c r="F261" s="2"/>
      <c r="G261" s="2"/>
    </row>
    <row r="262" spans="1:7" x14ac:dyDescent="0.25">
      <c r="A262" s="2"/>
      <c r="B262" s="2"/>
      <c r="C262" s="2"/>
      <c r="D262" s="2"/>
      <c r="E262" s="2"/>
      <c r="F262" s="2"/>
      <c r="G262" s="2"/>
    </row>
    <row r="263" spans="1:7" x14ac:dyDescent="0.25">
      <c r="A263" s="2"/>
      <c r="B263" s="2"/>
      <c r="C263" s="2"/>
      <c r="D263" s="2"/>
      <c r="E263" s="2"/>
      <c r="F263" s="2"/>
      <c r="G263" s="2"/>
    </row>
    <row r="264" spans="1:7" x14ac:dyDescent="0.25">
      <c r="A264" s="2"/>
      <c r="B264" s="2"/>
      <c r="C264" s="2"/>
      <c r="D264" s="2"/>
      <c r="E264" s="2"/>
      <c r="F264" s="2"/>
      <c r="G264" s="2"/>
    </row>
    <row r="265" spans="1:7" x14ac:dyDescent="0.25">
      <c r="A265" s="2"/>
      <c r="B265" s="2"/>
      <c r="C265" s="2"/>
      <c r="D265" s="2"/>
      <c r="E265" s="2"/>
      <c r="F265" s="2"/>
      <c r="G265" s="2"/>
    </row>
    <row r="266" spans="1:7" x14ac:dyDescent="0.25">
      <c r="A266" s="2"/>
      <c r="B266" s="2"/>
      <c r="C266" s="2"/>
      <c r="D266" s="2"/>
      <c r="E266" s="2"/>
      <c r="F266" s="2"/>
      <c r="G266" s="2"/>
    </row>
    <row r="267" spans="1:7" x14ac:dyDescent="0.25">
      <c r="A267" s="2"/>
      <c r="B267" s="2"/>
      <c r="C267" s="2"/>
      <c r="D267" s="2"/>
      <c r="E267" s="2"/>
      <c r="F267" s="2"/>
      <c r="G267" s="2"/>
    </row>
    <row r="268" spans="1:7" x14ac:dyDescent="0.25">
      <c r="A268" s="2"/>
      <c r="B268" s="2"/>
      <c r="C268" s="2"/>
      <c r="D268" s="2"/>
      <c r="E268" s="2"/>
      <c r="F268" s="2"/>
      <c r="G268" s="2"/>
    </row>
    <row r="269" spans="1:7" x14ac:dyDescent="0.25">
      <c r="A269" s="2"/>
      <c r="B269" s="2"/>
      <c r="C269" s="2"/>
      <c r="D269" s="2"/>
      <c r="E269" s="2"/>
      <c r="F269" s="2"/>
      <c r="G269" s="2"/>
    </row>
    <row r="270" spans="1:7" x14ac:dyDescent="0.25">
      <c r="A270" s="2"/>
      <c r="B270" s="2"/>
      <c r="C270" s="2"/>
      <c r="D270" s="2"/>
      <c r="E270" s="2"/>
      <c r="F270" s="2"/>
      <c r="G270" s="2"/>
    </row>
    <row r="271" spans="1:7" x14ac:dyDescent="0.25">
      <c r="A271" s="2"/>
      <c r="B271" s="2"/>
      <c r="C271" s="2"/>
      <c r="D271" s="2"/>
      <c r="E271" s="2"/>
      <c r="F271" s="2"/>
      <c r="G271" s="2"/>
    </row>
    <row r="272" spans="1:7" x14ac:dyDescent="0.25">
      <c r="A272" s="2"/>
      <c r="B272" s="2"/>
      <c r="C272" s="2"/>
      <c r="D272" s="2"/>
      <c r="E272" s="2"/>
      <c r="F272" s="2"/>
      <c r="G272" s="2"/>
    </row>
    <row r="273" spans="1:7" x14ac:dyDescent="0.25">
      <c r="A273" s="2"/>
      <c r="B273" s="2"/>
      <c r="C273" s="2"/>
      <c r="D273" s="2"/>
      <c r="E273" s="2"/>
      <c r="F273" s="2"/>
      <c r="G273" s="2"/>
    </row>
    <row r="274" spans="1:7" x14ac:dyDescent="0.25">
      <c r="A274" s="2"/>
      <c r="B274" s="2"/>
      <c r="C274" s="2"/>
      <c r="D274" s="2"/>
      <c r="E274" s="2"/>
      <c r="F274" s="2"/>
      <c r="G274" s="2"/>
    </row>
    <row r="275" spans="1:7" x14ac:dyDescent="0.25">
      <c r="A275" s="2"/>
      <c r="B275" s="2"/>
      <c r="C275" s="2"/>
      <c r="D275" s="2"/>
      <c r="E275" s="2"/>
      <c r="F275" s="2"/>
      <c r="G275" s="2"/>
    </row>
    <row r="276" spans="1:7" x14ac:dyDescent="0.25">
      <c r="A276" s="2"/>
      <c r="B276" s="2"/>
      <c r="C276" s="2"/>
      <c r="D276" s="2"/>
      <c r="E276" s="2"/>
      <c r="F276" s="2"/>
      <c r="G276" s="2"/>
    </row>
    <row r="277" spans="1:7" x14ac:dyDescent="0.25">
      <c r="A277" s="2"/>
      <c r="B277" s="2"/>
      <c r="C277" s="2"/>
      <c r="D277" s="2"/>
      <c r="E277" s="2"/>
      <c r="F277" s="2"/>
      <c r="G277" s="2"/>
    </row>
    <row r="278" spans="1:7" x14ac:dyDescent="0.25">
      <c r="A278" s="2"/>
      <c r="B278" s="2"/>
      <c r="C278" s="2"/>
      <c r="D278" s="2"/>
      <c r="E278" s="2"/>
      <c r="F278" s="2"/>
      <c r="G278" s="2"/>
    </row>
    <row r="279" spans="1:7" x14ac:dyDescent="0.25">
      <c r="A279" s="2"/>
      <c r="B279" s="2"/>
      <c r="C279" s="2"/>
      <c r="D279" s="2"/>
      <c r="E279" s="2"/>
      <c r="F279" s="2"/>
      <c r="G279" s="2"/>
    </row>
    <row r="280" spans="1:7" x14ac:dyDescent="0.25">
      <c r="A280" s="2"/>
      <c r="B280" s="2"/>
      <c r="C280" s="2"/>
      <c r="D280" s="2"/>
      <c r="E280" s="2"/>
      <c r="F280" s="2"/>
      <c r="G280" s="2"/>
    </row>
    <row r="281" spans="1:7" x14ac:dyDescent="0.25">
      <c r="A281" s="2"/>
      <c r="B281" s="2"/>
      <c r="C281" s="2"/>
      <c r="D281" s="2"/>
      <c r="E281" s="2"/>
      <c r="F281" s="2"/>
      <c r="G281" s="2"/>
    </row>
    <row r="282" spans="1:7" x14ac:dyDescent="0.25">
      <c r="A282" s="2"/>
      <c r="B282" s="2"/>
      <c r="C282" s="2"/>
      <c r="D282" s="2"/>
      <c r="E282" s="2"/>
      <c r="F282" s="2"/>
      <c r="G282" s="2"/>
    </row>
    <row r="283" spans="1:7" x14ac:dyDescent="0.25">
      <c r="A283" s="2"/>
      <c r="B283" s="2"/>
      <c r="C283" s="2"/>
      <c r="D283" s="2"/>
      <c r="E283" s="2"/>
      <c r="F283" s="2"/>
      <c r="G283" s="2"/>
    </row>
    <row r="284" spans="1:7" x14ac:dyDescent="0.25">
      <c r="A284" s="2"/>
      <c r="B284" s="2"/>
      <c r="C284" s="2"/>
      <c r="D284" s="2"/>
      <c r="E284" s="2"/>
      <c r="F284" s="2"/>
      <c r="G284" s="2"/>
    </row>
    <row r="285" spans="1:7" x14ac:dyDescent="0.25">
      <c r="A285" s="2"/>
      <c r="B285" s="2"/>
      <c r="C285" s="2"/>
      <c r="D285" s="2"/>
      <c r="E285" s="2"/>
      <c r="F285" s="2"/>
      <c r="G285" s="2"/>
    </row>
    <row r="286" spans="1:7" x14ac:dyDescent="0.25">
      <c r="A286" s="2"/>
      <c r="B286" s="2"/>
      <c r="C286" s="2"/>
      <c r="D286" s="2"/>
      <c r="E286" s="2"/>
      <c r="F286" s="2"/>
      <c r="G286" s="2"/>
    </row>
    <row r="287" spans="1:7" x14ac:dyDescent="0.25">
      <c r="A287" s="2"/>
      <c r="B287" s="2"/>
      <c r="C287" s="2"/>
      <c r="D287" s="2"/>
      <c r="E287" s="2"/>
      <c r="F287" s="2"/>
      <c r="G287" s="2"/>
    </row>
    <row r="288" spans="1:7" x14ac:dyDescent="0.25">
      <c r="A288" s="2"/>
      <c r="B288" s="2"/>
      <c r="C288" s="2"/>
      <c r="D288" s="2"/>
      <c r="E288" s="2"/>
      <c r="F288" s="2"/>
      <c r="G288" s="2"/>
    </row>
    <row r="289" spans="1:7" x14ac:dyDescent="0.25">
      <c r="A289" s="2"/>
      <c r="B289" s="2"/>
      <c r="C289" s="2"/>
      <c r="D289" s="2"/>
      <c r="E289" s="2"/>
      <c r="F289" s="2"/>
      <c r="G289" s="2"/>
    </row>
    <row r="290" spans="1:7" x14ac:dyDescent="0.25">
      <c r="A290" s="2"/>
      <c r="B290" s="2"/>
      <c r="C290" s="2"/>
      <c r="D290" s="2"/>
      <c r="E290" s="2"/>
      <c r="F290" s="2"/>
      <c r="G290" s="2"/>
    </row>
    <row r="291" spans="1:7" x14ac:dyDescent="0.25">
      <c r="A291" s="2"/>
      <c r="B291" s="2"/>
      <c r="C291" s="2"/>
      <c r="D291" s="2"/>
      <c r="E291" s="2"/>
      <c r="F291" s="2"/>
      <c r="G291" s="2"/>
    </row>
    <row r="292" spans="1:7" x14ac:dyDescent="0.25">
      <c r="A292" s="2"/>
      <c r="B292" s="2"/>
      <c r="C292" s="2"/>
      <c r="D292" s="2"/>
      <c r="E292" s="2"/>
      <c r="F292" s="2"/>
      <c r="G292" s="2"/>
    </row>
    <row r="293" spans="1:7" x14ac:dyDescent="0.25">
      <c r="A293" s="2"/>
      <c r="B293" s="2"/>
      <c r="C293" s="2"/>
      <c r="D293" s="2"/>
      <c r="E293" s="2"/>
      <c r="F293" s="2"/>
      <c r="G293" s="2"/>
    </row>
    <row r="294" spans="1:7" x14ac:dyDescent="0.25">
      <c r="A294" s="2"/>
      <c r="B294" s="2"/>
      <c r="C294" s="2"/>
      <c r="D294" s="2"/>
      <c r="E294" s="2"/>
      <c r="F294" s="2"/>
      <c r="G294" s="2"/>
    </row>
    <row r="295" spans="1:7" x14ac:dyDescent="0.25">
      <c r="A295" s="2"/>
      <c r="B295" s="2"/>
      <c r="C295" s="2"/>
      <c r="D295" s="2"/>
      <c r="E295" s="2"/>
      <c r="F295" s="2"/>
      <c r="G295" s="2"/>
    </row>
    <row r="296" spans="1:7" x14ac:dyDescent="0.25">
      <c r="A296" s="2"/>
      <c r="B296" s="2"/>
      <c r="C296" s="2"/>
      <c r="D296" s="2"/>
      <c r="E296" s="2"/>
      <c r="F296" s="2"/>
      <c r="G296" s="2"/>
    </row>
    <row r="297" spans="1:7" x14ac:dyDescent="0.25">
      <c r="A297" s="2"/>
      <c r="B297" s="2"/>
      <c r="C297" s="2"/>
      <c r="D297" s="2"/>
      <c r="E297" s="2"/>
      <c r="F297" s="2"/>
      <c r="G297" s="2"/>
    </row>
    <row r="298" spans="1:7" x14ac:dyDescent="0.25">
      <c r="A298" s="2"/>
      <c r="B298" s="2"/>
      <c r="C298" s="2"/>
      <c r="D298" s="2"/>
      <c r="E298" s="2"/>
      <c r="F298" s="2"/>
      <c r="G298" s="2"/>
    </row>
    <row r="299" spans="1:7" x14ac:dyDescent="0.25">
      <c r="A299" s="2"/>
      <c r="B299" s="2"/>
      <c r="C299" s="2"/>
      <c r="D299" s="2"/>
      <c r="E299" s="2"/>
      <c r="F299" s="2"/>
      <c r="G299" s="2"/>
    </row>
    <row r="300" spans="1:7" x14ac:dyDescent="0.25">
      <c r="A300" s="2"/>
      <c r="B300" s="2"/>
      <c r="C300" s="2"/>
      <c r="D300" s="2"/>
      <c r="E300" s="2"/>
      <c r="F300" s="2"/>
      <c r="G300" s="2"/>
    </row>
    <row r="301" spans="1:7" x14ac:dyDescent="0.25">
      <c r="A301" s="2"/>
      <c r="B301" s="2"/>
      <c r="C301" s="2"/>
      <c r="D301" s="2"/>
      <c r="E301" s="2"/>
      <c r="F301" s="2"/>
      <c r="G301" s="2"/>
    </row>
    <row r="302" spans="1:7" x14ac:dyDescent="0.25">
      <c r="A302" s="2"/>
      <c r="B302" s="2"/>
      <c r="C302" s="2"/>
      <c r="D302" s="2"/>
      <c r="E302" s="2"/>
      <c r="F302" s="2"/>
      <c r="G302" s="2"/>
    </row>
    <row r="303" spans="1:7" x14ac:dyDescent="0.25">
      <c r="A303" s="2"/>
      <c r="B303" s="2"/>
      <c r="C303" s="2"/>
      <c r="D303" s="2"/>
      <c r="E303" s="2"/>
      <c r="F303" s="2"/>
      <c r="G303" s="2"/>
    </row>
    <row r="304" spans="1:7" x14ac:dyDescent="0.25">
      <c r="A304" s="2"/>
      <c r="B304" s="2"/>
      <c r="C304" s="2"/>
      <c r="D304" s="2"/>
      <c r="E304" s="2"/>
      <c r="F304" s="2"/>
      <c r="G304" s="2"/>
    </row>
    <row r="305" spans="1:7" x14ac:dyDescent="0.25">
      <c r="A305" s="2"/>
      <c r="B305" s="2"/>
      <c r="C305" s="2"/>
      <c r="D305" s="2"/>
      <c r="E305" s="2"/>
      <c r="F305" s="2"/>
      <c r="G305" s="2"/>
    </row>
    <row r="306" spans="1:7" x14ac:dyDescent="0.25">
      <c r="A306" s="2"/>
      <c r="B306" s="2"/>
      <c r="C306" s="2"/>
      <c r="D306" s="2"/>
      <c r="E306" s="2"/>
      <c r="F306" s="2"/>
      <c r="G306" s="2"/>
    </row>
    <row r="307" spans="1:7" x14ac:dyDescent="0.25">
      <c r="A307" s="2"/>
      <c r="B307" s="2"/>
      <c r="C307" s="2"/>
      <c r="D307" s="2"/>
      <c r="E307" s="2"/>
      <c r="F307" s="2"/>
      <c r="G307" s="2"/>
    </row>
    <row r="308" spans="1:7" x14ac:dyDescent="0.25">
      <c r="A308" s="2"/>
      <c r="B308" s="2"/>
      <c r="C308" s="2"/>
      <c r="D308" s="2"/>
      <c r="E308" s="2"/>
      <c r="F308" s="2"/>
      <c r="G308" s="2"/>
    </row>
    <row r="309" spans="1:7" x14ac:dyDescent="0.25">
      <c r="A309" s="2"/>
      <c r="B309" s="2"/>
      <c r="C309" s="2"/>
      <c r="D309" s="2"/>
      <c r="E309" s="2"/>
      <c r="F309" s="2"/>
      <c r="G309" s="2"/>
    </row>
    <row r="310" spans="1:7" x14ac:dyDescent="0.25">
      <c r="A310" s="2"/>
      <c r="B310" s="2"/>
      <c r="C310" s="2"/>
      <c r="D310" s="2"/>
      <c r="E310" s="2"/>
      <c r="F310" s="2"/>
      <c r="G310" s="2"/>
    </row>
    <row r="311" spans="1:7" x14ac:dyDescent="0.25">
      <c r="A311" s="2"/>
      <c r="B311" s="2"/>
      <c r="C311" s="2"/>
      <c r="D311" s="2"/>
      <c r="E311" s="2"/>
      <c r="F311" s="2"/>
      <c r="G311" s="2"/>
    </row>
    <row r="312" spans="1:7" x14ac:dyDescent="0.25">
      <c r="A312" s="2"/>
      <c r="B312" s="2"/>
      <c r="C312" s="2"/>
      <c r="D312" s="2"/>
      <c r="E312" s="2"/>
      <c r="F312" s="2"/>
      <c r="G312" s="2"/>
    </row>
    <row r="313" spans="1:7" x14ac:dyDescent="0.25">
      <c r="A313" s="2"/>
      <c r="B313" s="2"/>
      <c r="C313" s="2"/>
      <c r="D313" s="2"/>
      <c r="E313" s="2"/>
      <c r="F313" s="2"/>
      <c r="G313" s="2"/>
    </row>
    <row r="314" spans="1:7" x14ac:dyDescent="0.25">
      <c r="A314" s="2"/>
      <c r="B314" s="2"/>
      <c r="C314" s="2"/>
      <c r="D314" s="2"/>
      <c r="E314" s="2"/>
      <c r="F314" s="2"/>
      <c r="G314" s="2"/>
    </row>
    <row r="315" spans="1:7" x14ac:dyDescent="0.25">
      <c r="A315" s="2"/>
      <c r="B315" s="2"/>
      <c r="C315" s="2"/>
      <c r="D315" s="2"/>
      <c r="E315" s="2"/>
      <c r="F315" s="2"/>
      <c r="G315" s="2"/>
    </row>
    <row r="316" spans="1:7" x14ac:dyDescent="0.25">
      <c r="A316" s="2"/>
      <c r="B316" s="2"/>
      <c r="C316" s="2"/>
      <c r="D316" s="2"/>
      <c r="E316" s="2"/>
      <c r="F316" s="2"/>
      <c r="G316" s="2"/>
    </row>
    <row r="317" spans="1:7" x14ac:dyDescent="0.25">
      <c r="A317" s="2"/>
      <c r="B317" s="2"/>
      <c r="C317" s="2"/>
      <c r="D317" s="2"/>
      <c r="E317" s="2"/>
      <c r="F317" s="2"/>
      <c r="G317" s="2"/>
    </row>
    <row r="318" spans="1:7" x14ac:dyDescent="0.25">
      <c r="A318" s="2"/>
      <c r="B318" s="2"/>
      <c r="C318" s="2"/>
      <c r="D318" s="2"/>
      <c r="E318" s="2"/>
      <c r="F318" s="2"/>
      <c r="G318" s="2"/>
    </row>
    <row r="319" spans="1:7" x14ac:dyDescent="0.25">
      <c r="A319" s="2"/>
      <c r="B319" s="2"/>
      <c r="C319" s="2"/>
      <c r="D319" s="2"/>
      <c r="E319" s="2"/>
      <c r="F319" s="2"/>
      <c r="G319" s="2"/>
    </row>
    <row r="320" spans="1:7" x14ac:dyDescent="0.25">
      <c r="A320" s="2"/>
      <c r="B320" s="2"/>
      <c r="C320" s="2"/>
      <c r="D320" s="2"/>
      <c r="E320" s="2"/>
      <c r="F320" s="2"/>
      <c r="G320" s="2"/>
    </row>
    <row r="321" spans="1:7" x14ac:dyDescent="0.25">
      <c r="A321" s="2"/>
      <c r="B321" s="2"/>
      <c r="C321" s="2"/>
      <c r="D321" s="2"/>
      <c r="E321" s="2"/>
      <c r="F321" s="2"/>
      <c r="G321" s="2"/>
    </row>
    <row r="322" spans="1:7" x14ac:dyDescent="0.25">
      <c r="A322" s="2"/>
      <c r="B322" s="2"/>
      <c r="C322" s="2"/>
      <c r="D322" s="2"/>
      <c r="E322" s="2"/>
      <c r="F322" s="2"/>
      <c r="G322" s="2"/>
    </row>
    <row r="323" spans="1:7" x14ac:dyDescent="0.25">
      <c r="A323" s="2"/>
      <c r="B323" s="2"/>
      <c r="C323" s="2"/>
      <c r="D323" s="2"/>
      <c r="E323" s="2"/>
      <c r="F323" s="2"/>
      <c r="G323" s="2"/>
    </row>
    <row r="324" spans="1:7" x14ac:dyDescent="0.25">
      <c r="A324" s="2"/>
      <c r="B324" s="2"/>
      <c r="C324" s="2"/>
      <c r="D324" s="2"/>
      <c r="E324" s="2"/>
      <c r="F324" s="2"/>
      <c r="G324" s="2"/>
    </row>
    <row r="325" spans="1:7" x14ac:dyDescent="0.25">
      <c r="A325" s="2"/>
      <c r="B325" s="2"/>
      <c r="C325" s="2"/>
      <c r="D325" s="2"/>
      <c r="E325" s="2"/>
      <c r="F325" s="2"/>
      <c r="G325" s="2"/>
    </row>
    <row r="326" spans="1:7" x14ac:dyDescent="0.25">
      <c r="A326" s="2"/>
      <c r="B326" s="2"/>
      <c r="C326" s="2"/>
      <c r="D326" s="2"/>
      <c r="E326" s="2"/>
      <c r="F326" s="2"/>
      <c r="G326" s="2"/>
    </row>
    <row r="327" spans="1:7" x14ac:dyDescent="0.25">
      <c r="A327" s="2"/>
      <c r="B327" s="2"/>
      <c r="C327" s="2"/>
      <c r="D327" s="2"/>
      <c r="E327" s="2"/>
      <c r="F327" s="2"/>
      <c r="G327" s="2"/>
    </row>
    <row r="328" spans="1:7" x14ac:dyDescent="0.25">
      <c r="A328" s="2"/>
      <c r="B328" s="2"/>
      <c r="C328" s="2"/>
      <c r="D328" s="2"/>
      <c r="E328" s="2"/>
      <c r="F328" s="2"/>
      <c r="G328" s="2"/>
    </row>
    <row r="329" spans="1:7" x14ac:dyDescent="0.25">
      <c r="A329" s="2"/>
      <c r="B329" s="2"/>
      <c r="C329" s="2"/>
      <c r="D329" s="2"/>
      <c r="E329" s="2"/>
      <c r="F329" s="2"/>
      <c r="G329" s="2"/>
    </row>
    <row r="330" spans="1:7" x14ac:dyDescent="0.25">
      <c r="A330" s="2"/>
      <c r="B330" s="2"/>
      <c r="C330" s="2"/>
      <c r="D330" s="2"/>
      <c r="E330" s="2"/>
      <c r="F330" s="2"/>
      <c r="G330" s="2"/>
    </row>
    <row r="331" spans="1:7" x14ac:dyDescent="0.25">
      <c r="A331" s="2"/>
      <c r="B331" s="2"/>
      <c r="C331" s="2"/>
      <c r="D331" s="2"/>
      <c r="E331" s="2"/>
      <c r="F331" s="2"/>
      <c r="G331" s="2"/>
    </row>
    <row r="332" spans="1:7" x14ac:dyDescent="0.25">
      <c r="A332" s="2"/>
      <c r="B332" s="2"/>
      <c r="C332" s="2"/>
      <c r="D332" s="2"/>
      <c r="E332" s="2"/>
      <c r="F332" s="2"/>
      <c r="G332" s="2"/>
    </row>
    <row r="333" spans="1:7" x14ac:dyDescent="0.25">
      <c r="A333" s="2"/>
      <c r="B333" s="2"/>
      <c r="C333" s="2"/>
      <c r="D333" s="2"/>
      <c r="E333" s="2"/>
      <c r="F333" s="2"/>
      <c r="G333" s="2"/>
    </row>
    <row r="334" spans="1:7" x14ac:dyDescent="0.25">
      <c r="A334" s="2"/>
      <c r="B334" s="2"/>
      <c r="C334" s="2"/>
      <c r="D334" s="2"/>
      <c r="E334" s="2"/>
      <c r="F334" s="2"/>
      <c r="G334" s="2"/>
    </row>
    <row r="335" spans="1:7" x14ac:dyDescent="0.25">
      <c r="A335" s="2"/>
      <c r="B335" s="2"/>
      <c r="C335" s="2"/>
      <c r="D335" s="2"/>
      <c r="E335" s="2"/>
      <c r="F335" s="2"/>
      <c r="G335" s="2"/>
    </row>
    <row r="336" spans="1:7" x14ac:dyDescent="0.25">
      <c r="A336" s="2"/>
      <c r="B336" s="2"/>
      <c r="C336" s="2"/>
      <c r="D336" s="2"/>
      <c r="E336" s="2"/>
      <c r="F336" s="2"/>
      <c r="G336" s="2"/>
    </row>
    <row r="337" spans="1:7" x14ac:dyDescent="0.25">
      <c r="A337" s="2"/>
      <c r="B337" s="2"/>
      <c r="C337" s="2"/>
      <c r="D337" s="2"/>
      <c r="E337" s="2"/>
      <c r="F337" s="2"/>
      <c r="G337" s="2"/>
    </row>
    <row r="338" spans="1:7" x14ac:dyDescent="0.25">
      <c r="A338" s="2"/>
      <c r="B338" s="2"/>
      <c r="C338" s="2"/>
      <c r="D338" s="2"/>
      <c r="E338" s="2"/>
      <c r="F338" s="2"/>
      <c r="G338" s="2"/>
    </row>
    <row r="339" spans="1:7" x14ac:dyDescent="0.25">
      <c r="A339" s="2"/>
      <c r="B339" s="2"/>
      <c r="C339" s="2"/>
      <c r="D339" s="2"/>
      <c r="E339" s="2"/>
      <c r="F339" s="2"/>
      <c r="G339" s="2"/>
    </row>
    <row r="340" spans="1:7" x14ac:dyDescent="0.25">
      <c r="A340" s="2"/>
      <c r="B340" s="2"/>
      <c r="C340" s="2"/>
      <c r="D340" s="2"/>
      <c r="E340" s="2"/>
      <c r="F340" s="2"/>
      <c r="G340" s="2"/>
    </row>
    <row r="341" spans="1:7" x14ac:dyDescent="0.25">
      <c r="A341" s="2"/>
      <c r="B341" s="2"/>
      <c r="C341" s="2"/>
      <c r="D341" s="2"/>
      <c r="E341" s="2"/>
      <c r="F341" s="2"/>
      <c r="G341" s="2"/>
    </row>
    <row r="342" spans="1:7" x14ac:dyDescent="0.25">
      <c r="A342" s="2"/>
      <c r="B342" s="2"/>
      <c r="C342" s="2"/>
      <c r="D342" s="2"/>
      <c r="E342" s="2"/>
      <c r="F342" s="2"/>
      <c r="G342" s="2"/>
    </row>
    <row r="343" spans="1:7" x14ac:dyDescent="0.25">
      <c r="A343" s="2"/>
      <c r="B343" s="2"/>
      <c r="C343" s="2"/>
      <c r="D343" s="2"/>
      <c r="E343" s="2"/>
      <c r="F343" s="2"/>
      <c r="G343" s="2"/>
    </row>
    <row r="344" spans="1:7" x14ac:dyDescent="0.25">
      <c r="A344" s="2"/>
      <c r="B344" s="2"/>
      <c r="C344" s="2"/>
      <c r="D344" s="2"/>
      <c r="E344" s="2"/>
      <c r="F344" s="2"/>
      <c r="G344" s="2"/>
    </row>
    <row r="345" spans="1:7" x14ac:dyDescent="0.25">
      <c r="A345" s="2"/>
      <c r="B345" s="2"/>
      <c r="C345" s="2"/>
      <c r="D345" s="2"/>
      <c r="E345" s="2"/>
      <c r="F345" s="2"/>
      <c r="G345" s="2"/>
    </row>
    <row r="346" spans="1:7" x14ac:dyDescent="0.25">
      <c r="A346" s="2"/>
      <c r="B346" s="2"/>
      <c r="C346" s="2"/>
      <c r="D346" s="2"/>
      <c r="E346" s="2"/>
      <c r="F346" s="2"/>
      <c r="G346" s="2"/>
    </row>
    <row r="347" spans="1:7" x14ac:dyDescent="0.25">
      <c r="A347" s="2"/>
      <c r="B347" s="2"/>
      <c r="C347" s="2"/>
      <c r="D347" s="2"/>
      <c r="E347" s="2"/>
      <c r="F347" s="2"/>
      <c r="G347" s="2"/>
    </row>
    <row r="348" spans="1:7" x14ac:dyDescent="0.25">
      <c r="A348" s="2"/>
      <c r="B348" s="2"/>
      <c r="C348" s="2"/>
      <c r="D348" s="2"/>
      <c r="E348" s="2"/>
      <c r="F348" s="2"/>
      <c r="G348" s="2"/>
    </row>
    <row r="349" spans="1:7" x14ac:dyDescent="0.25">
      <c r="A349" s="2"/>
      <c r="B349" s="2"/>
      <c r="C349" s="2"/>
      <c r="D349" s="2"/>
      <c r="E349" s="2"/>
      <c r="F349" s="2"/>
      <c r="G349" s="2"/>
    </row>
    <row r="350" spans="1:7" x14ac:dyDescent="0.25">
      <c r="A350" s="2"/>
      <c r="B350" s="2"/>
      <c r="C350" s="2"/>
      <c r="D350" s="2"/>
      <c r="E350" s="2"/>
      <c r="F350" s="2"/>
      <c r="G350" s="2"/>
    </row>
    <row r="351" spans="1:7" x14ac:dyDescent="0.25">
      <c r="A351" s="2"/>
      <c r="B351" s="2"/>
      <c r="C351" s="2"/>
      <c r="D351" s="2"/>
      <c r="E351" s="2"/>
      <c r="F351" s="2"/>
      <c r="G351" s="2"/>
    </row>
    <row r="352" spans="1:7" x14ac:dyDescent="0.25">
      <c r="A352" s="2"/>
      <c r="B352" s="2"/>
      <c r="C352" s="2"/>
      <c r="D352" s="2"/>
      <c r="E352" s="2"/>
      <c r="F352" s="2"/>
      <c r="G352" s="2"/>
    </row>
    <row r="353" spans="1:7" x14ac:dyDescent="0.25">
      <c r="A353" s="2"/>
      <c r="B353" s="2"/>
      <c r="C353" s="2"/>
      <c r="D353" s="2"/>
      <c r="E353" s="2"/>
      <c r="F353" s="2"/>
      <c r="G353" s="2"/>
    </row>
    <row r="354" spans="1:7" x14ac:dyDescent="0.25">
      <c r="A354" s="2"/>
      <c r="B354" s="2"/>
      <c r="C354" s="2"/>
      <c r="D354" s="2"/>
      <c r="E354" s="2"/>
      <c r="F354" s="2"/>
      <c r="G354" s="2"/>
    </row>
    <row r="355" spans="1:7" x14ac:dyDescent="0.25">
      <c r="A355" s="2"/>
      <c r="B355" s="2"/>
      <c r="C355" s="2"/>
      <c r="D355" s="2"/>
      <c r="E355" s="2"/>
      <c r="F355" s="2"/>
      <c r="G355" s="2"/>
    </row>
    <row r="356" spans="1:7" x14ac:dyDescent="0.25">
      <c r="A356" s="2"/>
      <c r="B356" s="2"/>
      <c r="C356" s="2"/>
      <c r="D356" s="2"/>
      <c r="E356" s="2"/>
      <c r="F356" s="2"/>
      <c r="G356" s="2"/>
    </row>
    <row r="357" spans="1:7" x14ac:dyDescent="0.25">
      <c r="A357" s="2"/>
      <c r="B357" s="2"/>
      <c r="C357" s="2"/>
      <c r="D357" s="2"/>
      <c r="E357" s="2"/>
      <c r="F357" s="2"/>
      <c r="G357" s="2"/>
    </row>
    <row r="358" spans="1:7" x14ac:dyDescent="0.25">
      <c r="A358" s="2"/>
      <c r="B358" s="2"/>
      <c r="C358" s="2"/>
      <c r="D358" s="2"/>
      <c r="E358" s="2"/>
      <c r="F358" s="2"/>
      <c r="G358" s="2"/>
    </row>
    <row r="359" spans="1:7" x14ac:dyDescent="0.25">
      <c r="A359" s="2"/>
      <c r="B359" s="2"/>
      <c r="C359" s="2"/>
      <c r="D359" s="2"/>
      <c r="E359" s="2"/>
      <c r="F359" s="2"/>
      <c r="G359" s="2"/>
    </row>
    <row r="360" spans="1:7" x14ac:dyDescent="0.25">
      <c r="A360" s="2"/>
      <c r="B360" s="2"/>
      <c r="C360" s="2"/>
      <c r="D360" s="2"/>
      <c r="E360" s="2"/>
      <c r="F360" s="2"/>
      <c r="G360" s="2"/>
    </row>
    <row r="361" spans="1:7" x14ac:dyDescent="0.25">
      <c r="A361" s="2"/>
      <c r="B361" s="2"/>
      <c r="C361" s="2"/>
      <c r="D361" s="2"/>
      <c r="E361" s="2"/>
      <c r="F361" s="2"/>
      <c r="G361" s="2"/>
    </row>
    <row r="362" spans="1:7" x14ac:dyDescent="0.25">
      <c r="A362" s="2"/>
      <c r="B362" s="2"/>
      <c r="C362" s="2"/>
      <c r="D362" s="2"/>
      <c r="E362" s="2"/>
      <c r="F362" s="2"/>
      <c r="G362" s="2"/>
    </row>
    <row r="363" spans="1:7" x14ac:dyDescent="0.25">
      <c r="A363" s="2"/>
      <c r="B363" s="2"/>
      <c r="C363" s="2"/>
      <c r="D363" s="2"/>
      <c r="E363" s="2"/>
      <c r="F363" s="2"/>
      <c r="G363" s="2"/>
    </row>
    <row r="364" spans="1:7" x14ac:dyDescent="0.25">
      <c r="A364" s="2"/>
      <c r="B364" s="2"/>
      <c r="C364" s="2"/>
      <c r="D364" s="2"/>
      <c r="E364" s="2"/>
      <c r="F364" s="2"/>
      <c r="G364" s="2"/>
    </row>
    <row r="365" spans="1:7" x14ac:dyDescent="0.25">
      <c r="A365" s="2"/>
      <c r="B365" s="2"/>
      <c r="C365" s="2"/>
      <c r="D365" s="2"/>
      <c r="E365" s="2"/>
      <c r="F365" s="2"/>
      <c r="G365" s="2"/>
    </row>
    <row r="366" spans="1:7" x14ac:dyDescent="0.25">
      <c r="A366" s="2"/>
      <c r="B366" s="2"/>
      <c r="C366" s="2"/>
      <c r="D366" s="2"/>
      <c r="E366" s="2"/>
      <c r="F366" s="2"/>
      <c r="G366" s="2"/>
    </row>
    <row r="367" spans="1:7" x14ac:dyDescent="0.25">
      <c r="A367" s="2"/>
      <c r="B367" s="2"/>
      <c r="C367" s="2"/>
      <c r="D367" s="2"/>
      <c r="E367" s="2"/>
      <c r="F367" s="2"/>
      <c r="G367" s="2"/>
    </row>
    <row r="368" spans="1:7" x14ac:dyDescent="0.25">
      <c r="A368" s="2"/>
      <c r="B368" s="2"/>
      <c r="C368" s="2"/>
      <c r="D368" s="2"/>
      <c r="E368" s="2"/>
      <c r="F368" s="2"/>
      <c r="G368" s="2"/>
    </row>
    <row r="369" spans="1:7" x14ac:dyDescent="0.25">
      <c r="A369" s="2"/>
      <c r="B369" s="2"/>
      <c r="C369" s="2"/>
      <c r="D369" s="2"/>
      <c r="E369" s="2"/>
      <c r="F369" s="2"/>
      <c r="G369" s="2"/>
    </row>
    <row r="370" spans="1:7" x14ac:dyDescent="0.25">
      <c r="A370" s="2"/>
      <c r="B370" s="2"/>
      <c r="C370" s="2"/>
      <c r="D370" s="2"/>
      <c r="E370" s="2"/>
      <c r="F370" s="2"/>
      <c r="G370" s="2"/>
    </row>
    <row r="371" spans="1:7" x14ac:dyDescent="0.25">
      <c r="A371" s="2"/>
      <c r="B371" s="2"/>
      <c r="C371" s="2"/>
      <c r="D371" s="2"/>
      <c r="E371" s="2"/>
      <c r="F371" s="2"/>
      <c r="G371" s="2"/>
    </row>
    <row r="372" spans="1:7" x14ac:dyDescent="0.25">
      <c r="A372" s="2"/>
      <c r="B372" s="2"/>
      <c r="C372" s="2"/>
      <c r="D372" s="2"/>
      <c r="E372" s="2"/>
      <c r="F372" s="2"/>
      <c r="G372" s="2"/>
    </row>
    <row r="373" spans="1:7" x14ac:dyDescent="0.25">
      <c r="A373" s="2"/>
      <c r="B373" s="2"/>
      <c r="C373" s="2"/>
      <c r="D373" s="2"/>
      <c r="E373" s="2"/>
      <c r="F373" s="2"/>
      <c r="G373" s="2"/>
    </row>
    <row r="374" spans="1:7" x14ac:dyDescent="0.25">
      <c r="A374" s="2"/>
      <c r="B374" s="2"/>
      <c r="C374" s="2"/>
      <c r="D374" s="2"/>
      <c r="E374" s="2"/>
      <c r="F374" s="2"/>
      <c r="G374" s="2"/>
    </row>
    <row r="375" spans="1:7" x14ac:dyDescent="0.25">
      <c r="A375" s="2"/>
      <c r="B375" s="2"/>
      <c r="C375" s="2"/>
      <c r="D375" s="2"/>
      <c r="E375" s="2"/>
      <c r="F375" s="2"/>
      <c r="G375" s="2"/>
    </row>
    <row r="376" spans="1:7" x14ac:dyDescent="0.25">
      <c r="A376" s="2"/>
      <c r="B376" s="2"/>
      <c r="C376" s="2"/>
      <c r="D376" s="2"/>
      <c r="E376" s="2"/>
      <c r="F376" s="2"/>
      <c r="G376" s="2"/>
    </row>
    <row r="377" spans="1:7" x14ac:dyDescent="0.25">
      <c r="A377" s="2"/>
      <c r="B377" s="2"/>
      <c r="C377" s="2"/>
      <c r="D377" s="2"/>
      <c r="E377" s="2"/>
      <c r="F377" s="2"/>
      <c r="G377" s="2"/>
    </row>
    <row r="378" spans="1:7" x14ac:dyDescent="0.25">
      <c r="A378" s="2"/>
      <c r="B378" s="2"/>
      <c r="C378" s="2"/>
      <c r="D378" s="2"/>
      <c r="E378" s="2"/>
      <c r="F378" s="2"/>
      <c r="G378" s="2"/>
    </row>
    <row r="379" spans="1:7" x14ac:dyDescent="0.25">
      <c r="A379" s="2"/>
      <c r="B379" s="2"/>
      <c r="C379" s="2"/>
      <c r="D379" s="2"/>
      <c r="E379" s="2"/>
      <c r="F379" s="2"/>
      <c r="G379" s="2"/>
    </row>
    <row r="380" spans="1:7" x14ac:dyDescent="0.25">
      <c r="A380" s="2"/>
      <c r="B380" s="2"/>
      <c r="C380" s="2"/>
      <c r="D380" s="2"/>
      <c r="E380" s="2"/>
      <c r="F380" s="2"/>
      <c r="G380" s="2"/>
    </row>
    <row r="381" spans="1:7" x14ac:dyDescent="0.25">
      <c r="A381" s="2"/>
      <c r="B381" s="2"/>
      <c r="C381" s="2"/>
      <c r="D381" s="2"/>
      <c r="E381" s="2"/>
      <c r="F381" s="2"/>
      <c r="G381" s="2"/>
    </row>
    <row r="382" spans="1:7" x14ac:dyDescent="0.25">
      <c r="A382" s="2"/>
      <c r="B382" s="2"/>
      <c r="C382" s="2"/>
      <c r="D382" s="2"/>
      <c r="E382" s="2"/>
      <c r="F382" s="2"/>
      <c r="G382" s="2"/>
    </row>
    <row r="383" spans="1:7" x14ac:dyDescent="0.25">
      <c r="A383" s="2"/>
      <c r="B383" s="2"/>
      <c r="C383" s="2"/>
      <c r="D383" s="2"/>
      <c r="E383" s="2"/>
      <c r="F383" s="2"/>
      <c r="G383" s="2"/>
    </row>
    <row r="384" spans="1:7" x14ac:dyDescent="0.25">
      <c r="A384" s="2"/>
      <c r="B384" s="2"/>
      <c r="C384" s="2"/>
      <c r="D384" s="2"/>
      <c r="E384" s="2"/>
      <c r="F384" s="2"/>
      <c r="G384" s="2"/>
    </row>
    <row r="385" spans="1:7" x14ac:dyDescent="0.25">
      <c r="A385" s="2"/>
      <c r="B385" s="2"/>
      <c r="C385" s="2"/>
      <c r="D385" s="2"/>
      <c r="E385" s="2"/>
      <c r="F385" s="2"/>
      <c r="G385" s="2"/>
    </row>
    <row r="386" spans="1:7" x14ac:dyDescent="0.25">
      <c r="A386" s="2"/>
      <c r="B386" s="2"/>
      <c r="C386" s="2"/>
      <c r="D386" s="2"/>
      <c r="E386" s="2"/>
      <c r="F386" s="2"/>
      <c r="G386" s="2"/>
    </row>
    <row r="387" spans="1:7" x14ac:dyDescent="0.25">
      <c r="A387" s="2"/>
      <c r="B387" s="2"/>
      <c r="C387" s="2"/>
      <c r="D387" s="2"/>
      <c r="E387" s="2"/>
      <c r="F387" s="2"/>
      <c r="G387" s="2"/>
    </row>
    <row r="388" spans="1:7" x14ac:dyDescent="0.25">
      <c r="A388" s="2"/>
      <c r="B388" s="2"/>
      <c r="C388" s="2"/>
      <c r="D388" s="2"/>
      <c r="E388" s="2"/>
      <c r="F388" s="2"/>
      <c r="G388" s="2"/>
    </row>
    <row r="389" spans="1:7" x14ac:dyDescent="0.25">
      <c r="A389" s="2"/>
      <c r="B389" s="2"/>
      <c r="C389" s="2"/>
      <c r="D389" s="2"/>
      <c r="E389" s="2"/>
      <c r="F389" s="2"/>
      <c r="G389" s="2"/>
    </row>
    <row r="390" spans="1:7" x14ac:dyDescent="0.25">
      <c r="A390" s="2"/>
      <c r="B390" s="2"/>
      <c r="C390" s="2"/>
      <c r="D390" s="2"/>
      <c r="E390" s="2"/>
      <c r="F390" s="2"/>
      <c r="G390" s="2"/>
    </row>
    <row r="391" spans="1:7" x14ac:dyDescent="0.25">
      <c r="A391" s="2"/>
      <c r="B391" s="2"/>
      <c r="C391" s="2"/>
      <c r="D391" s="2"/>
      <c r="E391" s="2"/>
      <c r="F391" s="2"/>
      <c r="G391" s="2"/>
    </row>
    <row r="392" spans="1:7" x14ac:dyDescent="0.25">
      <c r="A392" s="2"/>
      <c r="B392" s="2"/>
      <c r="C392" s="2"/>
      <c r="D392" s="2"/>
      <c r="E392" s="2"/>
      <c r="F392" s="2"/>
      <c r="G392" s="2"/>
    </row>
    <row r="393" spans="1:7" x14ac:dyDescent="0.25">
      <c r="A393" s="2"/>
      <c r="B393" s="2"/>
      <c r="C393" s="2"/>
      <c r="D393" s="2"/>
      <c r="E393" s="2"/>
      <c r="F393" s="2"/>
      <c r="G393" s="2"/>
    </row>
    <row r="394" spans="1:7" x14ac:dyDescent="0.25">
      <c r="A394" s="2"/>
      <c r="B394" s="2"/>
      <c r="C394" s="2"/>
      <c r="D394" s="2"/>
      <c r="E394" s="2"/>
      <c r="F394" s="2"/>
      <c r="G394" s="2"/>
    </row>
    <row r="395" spans="1:7" x14ac:dyDescent="0.25">
      <c r="A395" s="2"/>
      <c r="B395" s="2"/>
      <c r="C395" s="2"/>
      <c r="D395" s="2"/>
      <c r="E395" s="2"/>
      <c r="F395" s="2"/>
      <c r="G395" s="2"/>
    </row>
    <row r="396" spans="1:7" x14ac:dyDescent="0.25">
      <c r="A396" s="2"/>
      <c r="B396" s="2"/>
      <c r="C396" s="2"/>
      <c r="D396" s="2"/>
      <c r="E396" s="2"/>
      <c r="F396" s="2"/>
      <c r="G396" s="2"/>
    </row>
    <row r="397" spans="1:7" x14ac:dyDescent="0.25">
      <c r="A397" s="2"/>
      <c r="B397" s="2"/>
      <c r="C397" s="2"/>
      <c r="D397" s="2"/>
      <c r="E397" s="2"/>
      <c r="F397" s="2"/>
      <c r="G397" s="2"/>
    </row>
    <row r="398" spans="1:7" x14ac:dyDescent="0.25">
      <c r="A398" s="2"/>
      <c r="B398" s="2"/>
      <c r="C398" s="2"/>
      <c r="D398" s="2"/>
      <c r="E398" s="2"/>
      <c r="F398" s="2"/>
      <c r="G398" s="2"/>
    </row>
    <row r="399" spans="1:7" x14ac:dyDescent="0.25">
      <c r="A399" s="2"/>
      <c r="B399" s="2"/>
      <c r="C399" s="2"/>
      <c r="D399" s="2"/>
      <c r="E399" s="2"/>
      <c r="F399" s="2"/>
      <c r="G399" s="2"/>
    </row>
    <row r="400" spans="1:7" x14ac:dyDescent="0.25">
      <c r="A400" s="2"/>
      <c r="B400" s="2"/>
      <c r="C400" s="2"/>
      <c r="D400" s="2"/>
      <c r="E400" s="2"/>
      <c r="F400" s="2"/>
      <c r="G400" s="2"/>
    </row>
    <row r="401" spans="1:7" x14ac:dyDescent="0.25">
      <c r="A401" s="2"/>
      <c r="B401" s="2"/>
      <c r="C401" s="2"/>
      <c r="D401" s="2"/>
      <c r="E401" s="2"/>
      <c r="F401" s="2"/>
      <c r="G401" s="2"/>
    </row>
    <row r="402" spans="1:7" x14ac:dyDescent="0.25">
      <c r="A402" s="2"/>
      <c r="B402" s="2"/>
      <c r="C402" s="2"/>
      <c r="D402" s="2"/>
      <c r="E402" s="2"/>
      <c r="F402" s="2"/>
      <c r="G402" s="2"/>
    </row>
    <row r="403" spans="1:7" x14ac:dyDescent="0.25">
      <c r="A403" s="2"/>
      <c r="B403" s="2"/>
      <c r="C403" s="2"/>
      <c r="D403" s="2"/>
      <c r="E403" s="2"/>
      <c r="F403" s="2"/>
      <c r="G403" s="2"/>
    </row>
    <row r="404" spans="1:7" x14ac:dyDescent="0.25">
      <c r="A404" s="2"/>
      <c r="B404" s="2"/>
      <c r="C404" s="2"/>
      <c r="D404" s="2"/>
      <c r="E404" s="2"/>
      <c r="F404" s="2"/>
      <c r="G404" s="2"/>
    </row>
    <row r="405" spans="1:7" x14ac:dyDescent="0.25">
      <c r="A405" s="2"/>
      <c r="B405" s="2"/>
      <c r="C405" s="2"/>
      <c r="D405" s="2"/>
      <c r="E405" s="2"/>
      <c r="F405" s="2"/>
      <c r="G405" s="2"/>
    </row>
    <row r="406" spans="1:7" x14ac:dyDescent="0.25">
      <c r="A406" s="2"/>
      <c r="B406" s="2"/>
      <c r="C406" s="2"/>
      <c r="D406" s="2"/>
      <c r="E406" s="2"/>
      <c r="F406" s="2"/>
      <c r="G406" s="2"/>
    </row>
    <row r="407" spans="1:7" x14ac:dyDescent="0.25">
      <c r="A407" s="2"/>
      <c r="B407" s="2"/>
      <c r="C407" s="2"/>
      <c r="D407" s="2"/>
      <c r="E407" s="2"/>
      <c r="F407" s="2"/>
      <c r="G407" s="2"/>
    </row>
    <row r="408" spans="1:7" x14ac:dyDescent="0.25">
      <c r="A408" s="2"/>
      <c r="B408" s="2"/>
      <c r="C408" s="2"/>
      <c r="D408" s="2"/>
      <c r="E408" s="2"/>
      <c r="F408" s="2"/>
      <c r="G408" s="2"/>
    </row>
    <row r="409" spans="1:7" x14ac:dyDescent="0.25">
      <c r="A409" s="2"/>
      <c r="B409" s="2"/>
      <c r="C409" s="2"/>
      <c r="D409" s="2"/>
      <c r="E409" s="2"/>
      <c r="F409" s="2"/>
      <c r="G409" s="2"/>
    </row>
    <row r="410" spans="1:7" x14ac:dyDescent="0.25">
      <c r="A410" s="2"/>
      <c r="B410" s="2"/>
      <c r="C410" s="2"/>
      <c r="D410" s="2"/>
      <c r="E410" s="2"/>
      <c r="F410" s="2"/>
      <c r="G410" s="2"/>
    </row>
    <row r="411" spans="1:7" x14ac:dyDescent="0.25">
      <c r="A411" s="2"/>
      <c r="B411" s="2"/>
      <c r="C411" s="2"/>
      <c r="D411" s="2"/>
      <c r="E411" s="2"/>
      <c r="F411" s="2"/>
      <c r="G411" s="2"/>
    </row>
    <row r="412" spans="1:7" x14ac:dyDescent="0.25">
      <c r="A412" s="2"/>
      <c r="B412" s="2"/>
      <c r="C412" s="2"/>
      <c r="D412" s="2"/>
      <c r="E412" s="2"/>
      <c r="F412" s="2"/>
      <c r="G412" s="2"/>
    </row>
    <row r="413" spans="1:7" x14ac:dyDescent="0.25">
      <c r="A413" s="2"/>
      <c r="B413" s="2"/>
      <c r="C413" s="2"/>
      <c r="D413" s="2"/>
      <c r="E413" s="2"/>
      <c r="F413" s="2"/>
      <c r="G413" s="2"/>
    </row>
    <row r="414" spans="1:7" x14ac:dyDescent="0.25">
      <c r="A414" s="2"/>
      <c r="B414" s="2"/>
      <c r="C414" s="2"/>
      <c r="D414" s="2"/>
      <c r="E414" s="2"/>
      <c r="F414" s="2"/>
      <c r="G414" s="2"/>
    </row>
    <row r="415" spans="1:7" x14ac:dyDescent="0.25">
      <c r="A415" s="2"/>
      <c r="B415" s="2"/>
      <c r="C415" s="2"/>
      <c r="D415" s="2"/>
      <c r="E415" s="2"/>
      <c r="F415" s="2"/>
      <c r="G415" s="2"/>
    </row>
    <row r="416" spans="1:7" x14ac:dyDescent="0.25">
      <c r="A416" s="2"/>
      <c r="B416" s="2"/>
      <c r="C416" s="2"/>
      <c r="D416" s="2"/>
      <c r="E416" s="2"/>
      <c r="F416" s="2"/>
      <c r="G416" s="2"/>
    </row>
    <row r="417" spans="1:7" x14ac:dyDescent="0.25">
      <c r="A417" s="2"/>
      <c r="B417" s="2"/>
      <c r="C417" s="2"/>
      <c r="D417" s="2"/>
      <c r="E417" s="2"/>
      <c r="F417" s="2"/>
      <c r="G417" s="2"/>
    </row>
    <row r="418" spans="1:7" x14ac:dyDescent="0.25">
      <c r="A418" s="2"/>
      <c r="B418" s="2"/>
      <c r="C418" s="2"/>
      <c r="D418" s="2"/>
      <c r="E418" s="2"/>
      <c r="F418" s="2"/>
      <c r="G418" s="2"/>
    </row>
    <row r="419" spans="1:7" x14ac:dyDescent="0.25">
      <c r="A419" s="2"/>
      <c r="B419" s="2"/>
      <c r="C419" s="2"/>
      <c r="D419" s="2"/>
      <c r="E419" s="2"/>
      <c r="F419" s="2"/>
      <c r="G419" s="2"/>
    </row>
    <row r="420" spans="1:7" x14ac:dyDescent="0.25">
      <c r="A420" s="2"/>
      <c r="B420" s="2"/>
      <c r="C420" s="2"/>
      <c r="D420" s="2"/>
      <c r="E420" s="2"/>
      <c r="F420" s="2"/>
      <c r="G420" s="2"/>
    </row>
    <row r="421" spans="1:7" x14ac:dyDescent="0.25">
      <c r="A421" s="2"/>
      <c r="B421" s="2"/>
      <c r="C421" s="2"/>
      <c r="D421" s="2"/>
      <c r="E421" s="2"/>
      <c r="F421" s="2"/>
      <c r="G421" s="2"/>
    </row>
    <row r="422" spans="1:7" x14ac:dyDescent="0.25">
      <c r="A422" s="2"/>
      <c r="B422" s="2"/>
      <c r="C422" s="2"/>
      <c r="D422" s="2"/>
      <c r="E422" s="2"/>
      <c r="F422" s="2"/>
      <c r="G422" s="2"/>
    </row>
    <row r="423" spans="1:7" x14ac:dyDescent="0.25">
      <c r="A423" s="2"/>
      <c r="B423" s="2"/>
      <c r="C423" s="2"/>
      <c r="D423" s="2"/>
      <c r="E423" s="2"/>
      <c r="F423" s="2"/>
      <c r="G423" s="2"/>
    </row>
    <row r="424" spans="1:7" x14ac:dyDescent="0.25">
      <c r="A424" s="2"/>
      <c r="B424" s="2"/>
      <c r="C424" s="2"/>
      <c r="D424" s="2"/>
      <c r="E424" s="2"/>
      <c r="F424" s="2"/>
      <c r="G424" s="2"/>
    </row>
    <row r="425" spans="1:7" x14ac:dyDescent="0.25">
      <c r="A425" s="2"/>
      <c r="B425" s="2"/>
      <c r="C425" s="2"/>
      <c r="D425" s="2"/>
      <c r="E425" s="2"/>
      <c r="F425" s="2"/>
      <c r="G425" s="2"/>
    </row>
    <row r="426" spans="1:7" x14ac:dyDescent="0.25">
      <c r="A426" s="2"/>
      <c r="B426" s="2"/>
      <c r="C426" s="2"/>
      <c r="D426" s="2"/>
      <c r="E426" s="2"/>
      <c r="F426" s="2"/>
      <c r="G426" s="2"/>
    </row>
    <row r="427" spans="1:7" x14ac:dyDescent="0.25">
      <c r="A427" s="2"/>
      <c r="B427" s="2"/>
      <c r="C427" s="2"/>
      <c r="D427" s="2"/>
      <c r="E427" s="2"/>
      <c r="F427" s="2"/>
      <c r="G427" s="2"/>
    </row>
    <row r="428" spans="1:7" x14ac:dyDescent="0.25">
      <c r="A428" s="2"/>
      <c r="B428" s="2"/>
      <c r="C428" s="2"/>
      <c r="D428" s="2"/>
      <c r="E428" s="2"/>
      <c r="F428" s="2"/>
      <c r="G428" s="2"/>
    </row>
    <row r="429" spans="1:7" x14ac:dyDescent="0.25">
      <c r="A429" s="2"/>
      <c r="B429" s="2"/>
      <c r="C429" s="2"/>
      <c r="D429" s="2"/>
      <c r="E429" s="2"/>
      <c r="F429" s="2"/>
      <c r="G429" s="2"/>
    </row>
    <row r="430" spans="1:7" x14ac:dyDescent="0.25">
      <c r="A430" s="2"/>
      <c r="B430" s="2"/>
      <c r="C430" s="2"/>
      <c r="D430" s="2"/>
      <c r="E430" s="2"/>
      <c r="F430" s="2"/>
      <c r="G430" s="2"/>
    </row>
    <row r="431" spans="1:7" x14ac:dyDescent="0.25">
      <c r="A431" s="2"/>
      <c r="B431" s="2"/>
      <c r="C431" s="2"/>
      <c r="D431" s="2"/>
      <c r="E431" s="2"/>
      <c r="F431" s="2"/>
      <c r="G431" s="2"/>
    </row>
    <row r="432" spans="1:7" x14ac:dyDescent="0.25">
      <c r="A432" s="2"/>
      <c r="B432" s="2"/>
      <c r="C432" s="2"/>
      <c r="D432" s="2"/>
      <c r="E432" s="2"/>
      <c r="F432" s="2"/>
      <c r="G432" s="2"/>
    </row>
    <row r="433" spans="1:7" x14ac:dyDescent="0.25">
      <c r="A433" s="2"/>
      <c r="B433" s="2"/>
      <c r="C433" s="2"/>
      <c r="D433" s="2"/>
      <c r="E433" s="2"/>
      <c r="F433" s="2"/>
      <c r="G433" s="2"/>
    </row>
    <row r="434" spans="1:7" x14ac:dyDescent="0.25">
      <c r="A434" s="2"/>
      <c r="B434" s="2"/>
      <c r="C434" s="2"/>
      <c r="D434" s="2"/>
      <c r="E434" s="2"/>
      <c r="F434" s="2"/>
      <c r="G434" s="2"/>
    </row>
    <row r="435" spans="1:7" x14ac:dyDescent="0.25">
      <c r="A435" s="2"/>
      <c r="B435" s="2"/>
      <c r="C435" s="2"/>
      <c r="D435" s="2"/>
      <c r="E435" s="2"/>
      <c r="F435" s="2"/>
      <c r="G435" s="2"/>
    </row>
    <row r="436" spans="1:7" x14ac:dyDescent="0.25">
      <c r="A436" s="2"/>
      <c r="B436" s="2"/>
      <c r="C436" s="2"/>
      <c r="D436" s="2"/>
      <c r="E436" s="2"/>
      <c r="F436" s="2"/>
      <c r="G436" s="2"/>
    </row>
    <row r="437" spans="1:7" x14ac:dyDescent="0.25">
      <c r="A437" s="2"/>
      <c r="B437" s="2"/>
      <c r="C437" s="2"/>
      <c r="D437" s="2"/>
      <c r="E437" s="2"/>
      <c r="F437" s="2"/>
      <c r="G437" s="2"/>
    </row>
    <row r="438" spans="1:7" x14ac:dyDescent="0.25">
      <c r="A438" s="2"/>
      <c r="B438" s="2"/>
      <c r="C438" s="2"/>
      <c r="D438" s="2"/>
      <c r="E438" s="2"/>
      <c r="F438" s="2"/>
      <c r="G438" s="2"/>
    </row>
    <row r="439" spans="1:7" x14ac:dyDescent="0.25">
      <c r="A439" s="2"/>
      <c r="B439" s="2"/>
      <c r="C439" s="2"/>
      <c r="D439" s="2"/>
      <c r="E439" s="2"/>
      <c r="F439" s="2"/>
      <c r="G439" s="2"/>
    </row>
    <row r="440" spans="1:7" x14ac:dyDescent="0.25">
      <c r="A440" s="2"/>
      <c r="B440" s="2"/>
      <c r="C440" s="2"/>
      <c r="D440" s="2"/>
      <c r="E440" s="2"/>
      <c r="F440" s="2"/>
      <c r="G440" s="2"/>
    </row>
    <row r="441" spans="1:7" x14ac:dyDescent="0.25">
      <c r="A441" s="2"/>
      <c r="B441" s="2"/>
      <c r="C441" s="2"/>
      <c r="D441" s="2"/>
      <c r="E441" s="2"/>
      <c r="F441" s="2"/>
      <c r="G441" s="2"/>
    </row>
    <row r="442" spans="1:7" x14ac:dyDescent="0.25">
      <c r="A442" s="2"/>
      <c r="B442" s="2"/>
      <c r="C442" s="2"/>
      <c r="D442" s="2"/>
      <c r="E442" s="2"/>
      <c r="F442" s="2"/>
      <c r="G442" s="2"/>
    </row>
    <row r="443" spans="1:7" x14ac:dyDescent="0.25">
      <c r="A443" s="2"/>
      <c r="B443" s="2"/>
      <c r="C443" s="2"/>
      <c r="D443" s="2"/>
      <c r="E443" s="2"/>
      <c r="F443" s="2"/>
      <c r="G443" s="2"/>
    </row>
    <row r="444" spans="1:7" x14ac:dyDescent="0.25">
      <c r="A444" s="2"/>
      <c r="B444" s="2"/>
      <c r="C444" s="2"/>
      <c r="D444" s="2"/>
      <c r="E444" s="2"/>
      <c r="F444" s="2"/>
      <c r="G444" s="2"/>
    </row>
    <row r="445" spans="1:7" x14ac:dyDescent="0.25">
      <c r="A445" s="2"/>
      <c r="B445" s="2"/>
      <c r="C445" s="2"/>
      <c r="D445" s="2"/>
      <c r="E445" s="2"/>
      <c r="F445" s="2"/>
      <c r="G445" s="2"/>
    </row>
    <row r="446" spans="1:7" x14ac:dyDescent="0.25">
      <c r="A446" s="2"/>
      <c r="B446" s="2"/>
      <c r="C446" s="2"/>
      <c r="D446" s="2"/>
      <c r="E446" s="2"/>
      <c r="F446" s="2"/>
      <c r="G446" s="2"/>
    </row>
    <row r="447" spans="1:7" x14ac:dyDescent="0.25">
      <c r="A447" s="2"/>
      <c r="B447" s="2"/>
      <c r="C447" s="2"/>
      <c r="D447" s="2"/>
      <c r="E447" s="2"/>
      <c r="F447" s="2"/>
      <c r="G447" s="2"/>
    </row>
    <row r="448" spans="1:7" x14ac:dyDescent="0.25">
      <c r="A448" s="2"/>
      <c r="B448" s="2"/>
      <c r="C448" s="2"/>
      <c r="D448" s="2"/>
      <c r="E448" s="2"/>
      <c r="F448" s="2"/>
      <c r="G448" s="2"/>
    </row>
    <row r="449" spans="1:7" x14ac:dyDescent="0.25">
      <c r="A449" s="2"/>
      <c r="B449" s="2"/>
      <c r="C449" s="2"/>
      <c r="D449" s="2"/>
      <c r="E449" s="2"/>
      <c r="F449" s="2"/>
      <c r="G449" s="2"/>
    </row>
    <row r="450" spans="1:7" x14ac:dyDescent="0.25">
      <c r="A450" s="2"/>
      <c r="B450" s="2"/>
      <c r="C450" s="2"/>
      <c r="D450" s="2"/>
      <c r="E450" s="2"/>
      <c r="F450" s="2"/>
      <c r="G450" s="2"/>
    </row>
    <row r="451" spans="1:7" x14ac:dyDescent="0.25">
      <c r="A451" s="2"/>
      <c r="B451" s="2"/>
      <c r="C451" s="2"/>
      <c r="D451" s="2"/>
      <c r="E451" s="2"/>
      <c r="F451" s="2"/>
      <c r="G451" s="2"/>
    </row>
    <row r="452" spans="1:7" x14ac:dyDescent="0.25">
      <c r="A452" s="2"/>
      <c r="B452" s="2"/>
      <c r="C452" s="2"/>
      <c r="D452" s="2"/>
      <c r="E452" s="2"/>
      <c r="F452" s="2"/>
      <c r="G452" s="2"/>
    </row>
    <row r="453" spans="1:7" x14ac:dyDescent="0.25">
      <c r="A453" s="2"/>
      <c r="B453" s="2"/>
      <c r="C453" s="2"/>
      <c r="D453" s="2"/>
      <c r="E453" s="2"/>
      <c r="F453" s="2"/>
      <c r="G453" s="2"/>
    </row>
    <row r="454" spans="1:7" x14ac:dyDescent="0.25">
      <c r="A454" s="2"/>
      <c r="B454" s="2"/>
      <c r="C454" s="2"/>
      <c r="D454" s="2"/>
      <c r="E454" s="2"/>
      <c r="F454" s="2"/>
      <c r="G454" s="2"/>
    </row>
    <row r="455" spans="1:7" x14ac:dyDescent="0.25">
      <c r="A455" s="2"/>
      <c r="B455" s="2"/>
      <c r="C455" s="2"/>
      <c r="D455" s="2"/>
      <c r="E455" s="2"/>
      <c r="F455" s="2"/>
      <c r="G455" s="2"/>
    </row>
    <row r="456" spans="1:7" x14ac:dyDescent="0.25">
      <c r="A456" s="2"/>
      <c r="B456" s="2"/>
      <c r="C456" s="2"/>
      <c r="D456" s="2"/>
      <c r="E456" s="2"/>
      <c r="F456" s="2"/>
      <c r="G456" s="2"/>
    </row>
    <row r="457" spans="1:7" x14ac:dyDescent="0.25">
      <c r="A457" s="2"/>
      <c r="B457" s="2"/>
      <c r="C457" s="2"/>
      <c r="D457" s="2"/>
      <c r="E457" s="2"/>
      <c r="F457" s="2"/>
      <c r="G457" s="2"/>
    </row>
    <row r="458" spans="1:7" x14ac:dyDescent="0.25">
      <c r="A458" s="2"/>
      <c r="B458" s="2"/>
      <c r="C458" s="2"/>
      <c r="D458" s="2"/>
      <c r="E458" s="2"/>
      <c r="F458" s="2"/>
      <c r="G458" s="2"/>
    </row>
    <row r="459" spans="1:7" x14ac:dyDescent="0.25">
      <c r="A459" s="2"/>
      <c r="B459" s="2"/>
      <c r="C459" s="2"/>
      <c r="D459" s="2"/>
      <c r="E459" s="2"/>
      <c r="F459" s="2"/>
      <c r="G459" s="2"/>
    </row>
    <row r="460" spans="1:7" x14ac:dyDescent="0.25">
      <c r="A460" s="2"/>
      <c r="B460" s="2"/>
      <c r="C460" s="2"/>
      <c r="D460" s="2"/>
      <c r="E460" s="2"/>
      <c r="F460" s="2"/>
      <c r="G460" s="2"/>
    </row>
    <row r="461" spans="1:7" x14ac:dyDescent="0.25">
      <c r="A461" s="2"/>
      <c r="B461" s="2"/>
      <c r="C461" s="2"/>
      <c r="D461" s="2"/>
      <c r="E461" s="2"/>
      <c r="F461" s="2"/>
      <c r="G461" s="2"/>
    </row>
    <row r="462" spans="1:7" x14ac:dyDescent="0.25">
      <c r="A462" s="2"/>
      <c r="B462" s="2"/>
      <c r="C462" s="2"/>
      <c r="D462" s="2"/>
      <c r="E462" s="2"/>
      <c r="F462" s="2"/>
      <c r="G462" s="2"/>
    </row>
    <row r="463" spans="1:7" x14ac:dyDescent="0.25">
      <c r="A463" s="2"/>
      <c r="B463" s="2"/>
      <c r="C463" s="2"/>
      <c r="D463" s="2"/>
      <c r="E463" s="2"/>
      <c r="F463" s="2"/>
      <c r="G463" s="2"/>
    </row>
    <row r="464" spans="1:7" x14ac:dyDescent="0.25">
      <c r="A464" s="2"/>
      <c r="B464" s="2"/>
      <c r="C464" s="2"/>
      <c r="D464" s="2"/>
      <c r="E464" s="2"/>
      <c r="F464" s="2"/>
      <c r="G464" s="2"/>
    </row>
    <row r="465" spans="1:7" x14ac:dyDescent="0.25">
      <c r="A465" s="2"/>
      <c r="B465" s="2"/>
      <c r="C465" s="2"/>
      <c r="D465" s="2"/>
      <c r="E465" s="2"/>
      <c r="F465" s="2"/>
      <c r="G465" s="2"/>
    </row>
    <row r="466" spans="1:7" x14ac:dyDescent="0.25">
      <c r="A466" s="2"/>
      <c r="B466" s="2"/>
      <c r="C466" s="2"/>
      <c r="D466" s="2"/>
      <c r="E466" s="2"/>
      <c r="F466" s="2"/>
      <c r="G466" s="2"/>
    </row>
    <row r="467" spans="1:7" x14ac:dyDescent="0.25">
      <c r="A467" s="2"/>
      <c r="B467" s="2"/>
      <c r="C467" s="2"/>
      <c r="D467" s="2"/>
      <c r="E467" s="2"/>
      <c r="F467" s="2"/>
      <c r="G467" s="2"/>
    </row>
    <row r="468" spans="1:7" x14ac:dyDescent="0.25">
      <c r="A468" s="2"/>
      <c r="B468" s="2"/>
      <c r="C468" s="2"/>
      <c r="D468" s="2"/>
      <c r="E468" s="2"/>
      <c r="F468" s="2"/>
      <c r="G468" s="2"/>
    </row>
    <row r="469" spans="1:7" x14ac:dyDescent="0.25">
      <c r="A469" s="2"/>
      <c r="B469" s="2"/>
      <c r="C469" s="2"/>
      <c r="D469" s="2"/>
      <c r="E469" s="2"/>
      <c r="F469" s="2"/>
      <c r="G469" s="2"/>
    </row>
    <row r="470" spans="1:7" x14ac:dyDescent="0.25">
      <c r="A470" s="2"/>
      <c r="B470" s="2"/>
      <c r="C470" s="2"/>
      <c r="D470" s="2"/>
      <c r="E470" s="2"/>
      <c r="F470" s="2"/>
      <c r="G470" s="2"/>
    </row>
    <row r="471" spans="1:7" x14ac:dyDescent="0.25">
      <c r="A471" s="2"/>
      <c r="B471" s="2"/>
      <c r="C471" s="2"/>
      <c r="D471" s="2"/>
      <c r="E471" s="2"/>
      <c r="F471" s="2"/>
      <c r="G471" s="2"/>
    </row>
    <row r="472" spans="1:7" x14ac:dyDescent="0.25">
      <c r="A472" s="2"/>
      <c r="B472" s="2"/>
      <c r="C472" s="2"/>
      <c r="D472" s="2"/>
      <c r="E472" s="2"/>
      <c r="F472" s="2"/>
      <c r="G472" s="2"/>
    </row>
    <row r="473" spans="1:7" x14ac:dyDescent="0.25">
      <c r="A473" s="2"/>
      <c r="B473" s="2"/>
      <c r="C473" s="2"/>
      <c r="D473" s="2"/>
      <c r="E473" s="2"/>
      <c r="F473" s="2"/>
      <c r="G473" s="2"/>
    </row>
    <row r="474" spans="1:7" x14ac:dyDescent="0.25">
      <c r="A474" s="2"/>
      <c r="B474" s="2"/>
      <c r="C474" s="2"/>
      <c r="D474" s="2"/>
      <c r="E474" s="2"/>
      <c r="F474" s="2"/>
      <c r="G474" s="2"/>
    </row>
    <row r="475" spans="1:7" x14ac:dyDescent="0.25">
      <c r="A475" s="2"/>
      <c r="B475" s="2"/>
      <c r="C475" s="2"/>
      <c r="D475" s="2"/>
      <c r="E475" s="2"/>
      <c r="F475" s="2"/>
      <c r="G475" s="2"/>
    </row>
    <row r="476" spans="1:7" x14ac:dyDescent="0.25">
      <c r="A476" s="2"/>
      <c r="B476" s="2"/>
      <c r="C476" s="2"/>
      <c r="D476" s="2"/>
      <c r="E476" s="2"/>
      <c r="F476" s="2"/>
      <c r="G476" s="2"/>
    </row>
    <row r="477" spans="1:7" x14ac:dyDescent="0.25">
      <c r="A477" s="2"/>
      <c r="B477" s="2"/>
      <c r="C477" s="2"/>
      <c r="D477" s="2"/>
      <c r="E477" s="2"/>
      <c r="F477" s="2"/>
      <c r="G477" s="2"/>
    </row>
    <row r="478" spans="1:7" x14ac:dyDescent="0.25">
      <c r="A478" s="2"/>
      <c r="B478" s="2"/>
      <c r="C478" s="2"/>
      <c r="D478" s="2"/>
      <c r="E478" s="2"/>
      <c r="F478" s="2"/>
      <c r="G478" s="2"/>
    </row>
    <row r="479" spans="1:7" x14ac:dyDescent="0.25">
      <c r="A479" s="2"/>
      <c r="B479" s="2"/>
      <c r="C479" s="2"/>
      <c r="D479" s="2"/>
      <c r="E479" s="2"/>
      <c r="F479" s="2"/>
      <c r="G479" s="2"/>
    </row>
    <row r="480" spans="1:7" x14ac:dyDescent="0.25">
      <c r="A480" s="2"/>
      <c r="B480" s="2"/>
      <c r="C480" s="2"/>
      <c r="D480" s="2"/>
      <c r="E480" s="2"/>
      <c r="F480" s="2"/>
      <c r="G480" s="2"/>
    </row>
    <row r="481" spans="1:7" x14ac:dyDescent="0.25">
      <c r="A481" s="2"/>
      <c r="B481" s="2"/>
      <c r="C481" s="2"/>
      <c r="D481" s="2"/>
      <c r="E481" s="2"/>
      <c r="F481" s="2"/>
      <c r="G481" s="2"/>
    </row>
    <row r="482" spans="1:7" x14ac:dyDescent="0.25">
      <c r="A482" s="2"/>
      <c r="B482" s="2"/>
      <c r="C482" s="2"/>
      <c r="D482" s="2"/>
      <c r="E482" s="2"/>
      <c r="F482" s="2"/>
      <c r="G482" s="2"/>
    </row>
    <row r="483" spans="1:7" x14ac:dyDescent="0.25">
      <c r="A483" s="2"/>
      <c r="B483" s="2"/>
      <c r="C483" s="2"/>
      <c r="D483" s="2"/>
      <c r="E483" s="2"/>
      <c r="F483" s="2"/>
      <c r="G483" s="2"/>
    </row>
    <row r="484" spans="1:7" x14ac:dyDescent="0.25">
      <c r="A484" s="2"/>
      <c r="B484" s="2"/>
      <c r="C484" s="2"/>
      <c r="D484" s="2"/>
      <c r="E484" s="2"/>
      <c r="F484" s="2"/>
      <c r="G484" s="2"/>
    </row>
    <row r="485" spans="1:7" x14ac:dyDescent="0.25">
      <c r="A485" s="2"/>
      <c r="B485" s="2"/>
      <c r="C485" s="2"/>
      <c r="D485" s="2"/>
      <c r="E485" s="2"/>
      <c r="F485" s="2"/>
      <c r="G485" s="2"/>
    </row>
    <row r="486" spans="1:7" x14ac:dyDescent="0.25">
      <c r="A486" s="2"/>
      <c r="B486" s="2"/>
      <c r="C486" s="2"/>
      <c r="D486" s="2"/>
      <c r="E486" s="2"/>
      <c r="F486" s="2"/>
      <c r="G486" s="2"/>
    </row>
    <row r="487" spans="1:7" x14ac:dyDescent="0.25">
      <c r="A487" s="2"/>
      <c r="B487" s="2"/>
      <c r="C487" s="2"/>
      <c r="D487" s="2"/>
      <c r="E487" s="2"/>
      <c r="F487" s="2"/>
      <c r="G487" s="2"/>
    </row>
    <row r="488" spans="1:7" x14ac:dyDescent="0.25">
      <c r="A488" s="2"/>
      <c r="B488" s="2"/>
      <c r="C488" s="2"/>
      <c r="D488" s="2"/>
      <c r="E488" s="2"/>
      <c r="F488" s="2"/>
      <c r="G488" s="2"/>
    </row>
    <row r="489" spans="1:7" x14ac:dyDescent="0.25">
      <c r="A489" s="2"/>
      <c r="B489" s="2"/>
      <c r="C489" s="2"/>
      <c r="D489" s="2"/>
      <c r="E489" s="2"/>
      <c r="F489" s="2"/>
      <c r="G489" s="2"/>
    </row>
    <row r="490" spans="1:7" x14ac:dyDescent="0.25">
      <c r="A490" s="2"/>
      <c r="B490" s="2"/>
      <c r="C490" s="2"/>
      <c r="D490" s="2"/>
      <c r="E490" s="2"/>
      <c r="F490" s="2"/>
      <c r="G490" s="2"/>
    </row>
    <row r="491" spans="1:7" x14ac:dyDescent="0.25">
      <c r="A491" s="2"/>
      <c r="B491" s="2"/>
      <c r="C491" s="2"/>
      <c r="D491" s="2"/>
      <c r="E491" s="2"/>
      <c r="F491" s="2"/>
      <c r="G491" s="2"/>
    </row>
    <row r="492" spans="1:7" x14ac:dyDescent="0.25">
      <c r="A492" s="2"/>
      <c r="B492" s="2"/>
      <c r="C492" s="2"/>
      <c r="D492" s="2"/>
      <c r="E492" s="2"/>
      <c r="F492" s="2"/>
      <c r="G492" s="2"/>
    </row>
    <row r="493" spans="1:7" x14ac:dyDescent="0.25">
      <c r="A493" s="2"/>
      <c r="B493" s="2"/>
      <c r="C493" s="2"/>
      <c r="D493" s="2"/>
      <c r="E493" s="2"/>
      <c r="F493" s="2"/>
      <c r="G493" s="2"/>
    </row>
    <row r="494" spans="1:7" x14ac:dyDescent="0.25">
      <c r="A494" s="2"/>
      <c r="B494" s="2"/>
      <c r="C494" s="2"/>
      <c r="D494" s="2"/>
      <c r="E494" s="2"/>
      <c r="F494" s="2"/>
      <c r="G494" s="2"/>
    </row>
    <row r="495" spans="1:7" x14ac:dyDescent="0.25">
      <c r="A495" s="2"/>
      <c r="B495" s="2"/>
      <c r="C495" s="2"/>
      <c r="D495" s="2"/>
      <c r="E495" s="2"/>
      <c r="F495" s="2"/>
      <c r="G495" s="2"/>
    </row>
    <row r="496" spans="1:7" x14ac:dyDescent="0.25">
      <c r="A496" s="2"/>
      <c r="B496" s="2"/>
      <c r="C496" s="2"/>
      <c r="D496" s="2"/>
      <c r="E496" s="2"/>
      <c r="F496" s="2"/>
      <c r="G496" s="2"/>
    </row>
    <row r="497" spans="1:7" x14ac:dyDescent="0.25">
      <c r="A497" s="2"/>
      <c r="B497" s="2"/>
      <c r="C497" s="2"/>
      <c r="D497" s="2"/>
      <c r="E497" s="2"/>
      <c r="F497" s="2"/>
      <c r="G497" s="2"/>
    </row>
    <row r="498" spans="1:7" x14ac:dyDescent="0.25">
      <c r="A498" s="2"/>
      <c r="B498" s="2"/>
      <c r="C498" s="2"/>
      <c r="D498" s="2"/>
      <c r="E498" s="2"/>
      <c r="F498" s="2"/>
      <c r="G498" s="2"/>
    </row>
    <row r="499" spans="1:7" x14ac:dyDescent="0.25">
      <c r="A499" s="2"/>
      <c r="B499" s="2"/>
      <c r="C499" s="2"/>
      <c r="D499" s="2"/>
      <c r="E499" s="2"/>
      <c r="F499" s="2"/>
      <c r="G499" s="2"/>
    </row>
    <row r="500" spans="1:7" x14ac:dyDescent="0.25">
      <c r="A500" s="2"/>
      <c r="B500" s="2"/>
      <c r="C500" s="2"/>
      <c r="D500" s="2"/>
      <c r="E500" s="2"/>
      <c r="F500" s="2"/>
      <c r="G500" s="2"/>
    </row>
    <row r="501" spans="1:7" x14ac:dyDescent="0.25">
      <c r="A501" s="2"/>
      <c r="B501" s="2"/>
      <c r="C501" s="2"/>
      <c r="D501" s="2"/>
      <c r="E501" s="2"/>
      <c r="F501" s="2"/>
      <c r="G501" s="2"/>
    </row>
    <row r="502" spans="1:7" x14ac:dyDescent="0.25">
      <c r="A502" s="2"/>
      <c r="B502" s="2"/>
      <c r="C502" s="2"/>
      <c r="D502" s="2"/>
      <c r="E502" s="2"/>
      <c r="F502" s="2"/>
      <c r="G502" s="2"/>
    </row>
    <row r="503" spans="1:7" x14ac:dyDescent="0.25">
      <c r="A503" s="2"/>
      <c r="B503" s="2"/>
      <c r="C503" s="2"/>
      <c r="D503" s="2"/>
      <c r="E503" s="2"/>
      <c r="F503" s="2"/>
      <c r="G503" s="2"/>
    </row>
  </sheetData>
  <autoFilter ref="A3:G503" xr:uid="{00000000-0009-0000-0000-000004000000}"/>
  <conditionalFormatting sqref="D56:D503 D4:D33 D35:D44">
    <cfRule type="cellIs" dxfId="87" priority="70" operator="equal">
      <formula>"Pass"</formula>
    </cfRule>
    <cfRule type="cellIs" dxfId="86" priority="71" operator="equal">
      <formula>"Fail"</formula>
    </cfRule>
    <cfRule type="cellIs" dxfId="85" priority="72" operator="equal">
      <formula>"Blocked"</formula>
    </cfRule>
    <cfRule type="cellIs" dxfId="84" priority="73" operator="equal">
      <formula>"Not Run"</formula>
    </cfRule>
  </conditionalFormatting>
  <conditionalFormatting sqref="D45:D48">
    <cfRule type="cellIs" dxfId="83" priority="61" operator="equal">
      <formula>"Pass"</formula>
    </cfRule>
    <cfRule type="cellIs" dxfId="82" priority="62" operator="equal">
      <formula>"Fail"</formula>
    </cfRule>
    <cfRule type="cellIs" dxfId="81" priority="63" operator="equal">
      <formula>"Blocked"</formula>
    </cfRule>
    <cfRule type="cellIs" dxfId="80" priority="64" operator="equal">
      <formula>"Not Run"</formula>
    </cfRule>
  </conditionalFormatting>
  <conditionalFormatting sqref="D36">
    <cfRule type="cellIs" dxfId="79" priority="53" operator="equal">
      <formula>"Pass"</formula>
    </cfRule>
    <cfRule type="cellIs" dxfId="78" priority="54" operator="equal">
      <formula>"Fail"</formula>
    </cfRule>
    <cfRule type="cellIs" dxfId="77" priority="55" operator="equal">
      <formula>"Blocked"</formula>
    </cfRule>
    <cfRule type="cellIs" dxfId="76" priority="56" operator="equal">
      <formula>"Not Run"</formula>
    </cfRule>
  </conditionalFormatting>
  <conditionalFormatting sqref="D40">
    <cfRule type="cellIs" dxfId="75" priority="49" operator="equal">
      <formula>"Pass"</formula>
    </cfRule>
    <cfRule type="cellIs" dxfId="74" priority="50" operator="equal">
      <formula>"Fail"</formula>
    </cfRule>
    <cfRule type="cellIs" dxfId="73" priority="51" operator="equal">
      <formula>"Blocked"</formula>
    </cfRule>
    <cfRule type="cellIs" dxfId="72" priority="52" operator="equal">
      <formula>"Not Run"</formula>
    </cfRule>
  </conditionalFormatting>
  <conditionalFormatting sqref="D46">
    <cfRule type="cellIs" dxfId="71" priority="45" operator="equal">
      <formula>"Pass"</formula>
    </cfRule>
    <cfRule type="cellIs" dxfId="70" priority="46" operator="equal">
      <formula>"Fail"</formula>
    </cfRule>
    <cfRule type="cellIs" dxfId="69" priority="47" operator="equal">
      <formula>"Blocked"</formula>
    </cfRule>
    <cfRule type="cellIs" dxfId="68" priority="48" operator="equal">
      <formula>"Not Run"</formula>
    </cfRule>
  </conditionalFormatting>
  <conditionalFormatting sqref="D50">
    <cfRule type="cellIs" dxfId="67" priority="41" operator="equal">
      <formula>"Pass"</formula>
    </cfRule>
    <cfRule type="cellIs" dxfId="66" priority="42" operator="equal">
      <formula>"Fail"</formula>
    </cfRule>
    <cfRule type="cellIs" dxfId="65" priority="43" operator="equal">
      <formula>"Blocked"</formula>
    </cfRule>
    <cfRule type="cellIs" dxfId="64" priority="44" operator="equal">
      <formula>"Not Run"</formula>
    </cfRule>
  </conditionalFormatting>
  <conditionalFormatting sqref="D51">
    <cfRule type="cellIs" dxfId="63" priority="37" operator="equal">
      <formula>"Pass"</formula>
    </cfRule>
    <cfRule type="cellIs" dxfId="62" priority="38" operator="equal">
      <formula>"Fail"</formula>
    </cfRule>
    <cfRule type="cellIs" dxfId="61" priority="39" operator="equal">
      <formula>"Blocked"</formula>
    </cfRule>
    <cfRule type="cellIs" dxfId="60" priority="40" operator="equal">
      <formula>"Not Run"</formula>
    </cfRule>
  </conditionalFormatting>
  <conditionalFormatting sqref="D52">
    <cfRule type="cellIs" dxfId="59" priority="33" operator="equal">
      <formula>"Pass"</formula>
    </cfRule>
    <cfRule type="cellIs" dxfId="58" priority="34" operator="equal">
      <formula>"Fail"</formula>
    </cfRule>
    <cfRule type="cellIs" dxfId="57" priority="35" operator="equal">
      <formula>"Blocked"</formula>
    </cfRule>
    <cfRule type="cellIs" dxfId="56" priority="36" operator="equal">
      <formula>"Not Run"</formula>
    </cfRule>
  </conditionalFormatting>
  <conditionalFormatting sqref="D50">
    <cfRule type="cellIs" dxfId="55" priority="25" operator="equal">
      <formula>"Pass"</formula>
    </cfRule>
    <cfRule type="cellIs" dxfId="54" priority="26" operator="equal">
      <formula>"Fail"</formula>
    </cfRule>
    <cfRule type="cellIs" dxfId="53" priority="27" operator="equal">
      <formula>"Blocked"</formula>
    </cfRule>
    <cfRule type="cellIs" dxfId="52" priority="28" operator="equal">
      <formula>"Not Run"</formula>
    </cfRule>
  </conditionalFormatting>
  <conditionalFormatting sqref="D34">
    <cfRule type="cellIs" dxfId="51" priority="21" operator="equal">
      <formula>"Pass"</formula>
    </cfRule>
    <cfRule type="cellIs" dxfId="50" priority="22" operator="equal">
      <formula>"Fail"</formula>
    </cfRule>
    <cfRule type="cellIs" dxfId="49" priority="23" operator="equal">
      <formula>"Blocked"</formula>
    </cfRule>
    <cfRule type="cellIs" dxfId="48" priority="24" operator="equal">
      <formula>"Not Run"</formula>
    </cfRule>
  </conditionalFormatting>
  <conditionalFormatting sqref="D34">
    <cfRule type="cellIs" dxfId="47" priority="17" operator="equal">
      <formula>"Pass"</formula>
    </cfRule>
    <cfRule type="cellIs" dxfId="46" priority="18" operator="equal">
      <formula>"Fail"</formula>
    </cfRule>
    <cfRule type="cellIs" dxfId="45" priority="19" operator="equal">
      <formula>"Blocked"</formula>
    </cfRule>
    <cfRule type="cellIs" dxfId="44" priority="20" operator="equal">
      <formula>"Not Run"</formula>
    </cfRule>
  </conditionalFormatting>
  <conditionalFormatting sqref="D54">
    <cfRule type="cellIs" dxfId="43" priority="13" operator="equal">
      <formula>"Pass"</formula>
    </cfRule>
    <cfRule type="cellIs" dxfId="42" priority="14" operator="equal">
      <formula>"Fail"</formula>
    </cfRule>
    <cfRule type="cellIs" dxfId="41" priority="15" operator="equal">
      <formula>"Blocked"</formula>
    </cfRule>
    <cfRule type="cellIs" dxfId="40" priority="16" operator="equal">
      <formula>"Not Run"</formula>
    </cfRule>
  </conditionalFormatting>
  <conditionalFormatting sqref="D55">
    <cfRule type="cellIs" dxfId="39" priority="9" operator="equal">
      <formula>"Pass"</formula>
    </cfRule>
    <cfRule type="cellIs" dxfId="38" priority="10" operator="equal">
      <formula>"Fail"</formula>
    </cfRule>
    <cfRule type="cellIs" dxfId="37" priority="11" operator="equal">
      <formula>"Blocked"</formula>
    </cfRule>
    <cfRule type="cellIs" dxfId="36" priority="12" operator="equal">
      <formula>"Not Run"</formula>
    </cfRule>
  </conditionalFormatting>
  <conditionalFormatting sqref="D53">
    <cfRule type="cellIs" dxfId="35" priority="5" operator="equal">
      <formula>"Pass"</formula>
    </cfRule>
    <cfRule type="cellIs" dxfId="34" priority="6" operator="equal">
      <formula>"Fail"</formula>
    </cfRule>
    <cfRule type="cellIs" dxfId="33" priority="7" operator="equal">
      <formula>"Blocked"</formula>
    </cfRule>
    <cfRule type="cellIs" dxfId="32" priority="8" operator="equal">
      <formula>"Not Run"</formula>
    </cfRule>
  </conditionalFormatting>
  <conditionalFormatting sqref="D49">
    <cfRule type="cellIs" dxfId="31" priority="1" operator="equal">
      <formula>"Pass"</formula>
    </cfRule>
    <cfRule type="cellIs" dxfId="30" priority="2" operator="equal">
      <formula>"Fail"</formula>
    </cfRule>
    <cfRule type="cellIs" dxfId="29" priority="3" operator="equal">
      <formula>"Blocked"</formula>
    </cfRule>
    <cfRule type="cellIs" dxfId="28" priority="4" operator="equal">
      <formula>"Not Run"</formula>
    </cfRule>
  </conditionalFormatting>
  <dataValidations count="2">
    <dataValidation type="list" allowBlank="1" sqref="B4:B503" xr:uid="{00000000-0002-0000-0400-000001000000}">
      <formula1>"SC-01,SC-02,SC-03,SC-04,SC-05,SC-06,SC-07,SC-08,SC-09,SC-10,SC-11,SC-12,SC-13,SC-14,SC-15,SC-16"</formula1>
      <formula2>0</formula2>
    </dataValidation>
    <dataValidation type="list" allowBlank="1" sqref="D4:D503" xr:uid="{00000000-0002-0000-0400-000000000000}">
      <formula1>"Not Run,Pass,Fail,Blocked"</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05"/>
  <sheetViews>
    <sheetView zoomScaleNormal="100" workbookViewId="0">
      <pane xSplit="2" ySplit="3" topLeftCell="H4" activePane="bottomRight" state="frozen"/>
      <selection activeCell="C10" sqref="C10"/>
      <selection pane="topRight" activeCell="C10" sqref="C10"/>
      <selection pane="bottomLeft" activeCell="C10" sqref="C10"/>
      <selection pane="bottomRight" activeCell="C10" sqref="C10"/>
    </sheetView>
  </sheetViews>
  <sheetFormatPr defaultColWidth="8.7109375" defaultRowHeight="15" x14ac:dyDescent="0.25"/>
  <cols>
    <col min="1" max="1" width="12" customWidth="1"/>
    <col min="2" max="2" width="11" customWidth="1"/>
    <col min="3" max="3" width="14" customWidth="1"/>
    <col min="4" max="4" width="24" customWidth="1"/>
    <col min="5" max="5" width="13" customWidth="1"/>
    <col min="6" max="6" width="34" customWidth="1"/>
    <col min="7" max="7" width="30" customWidth="1"/>
    <col min="8" max="8" width="26" customWidth="1"/>
    <col min="9" max="9" width="44" customWidth="1"/>
    <col min="10" max="10" width="38" customWidth="1"/>
    <col min="11" max="11" width="30" customWidth="1"/>
    <col min="12" max="12" width="12" customWidth="1"/>
    <col min="13" max="14" width="11" customWidth="1"/>
    <col min="15" max="15" width="14" customWidth="1"/>
    <col min="16" max="16" width="13" customWidth="1"/>
    <col min="17" max="17" width="33.28515625" customWidth="1"/>
  </cols>
  <sheetData>
    <row r="1" spans="1:17" ht="18" x14ac:dyDescent="0.25">
      <c r="A1" s="3" t="s">
        <v>179</v>
      </c>
    </row>
    <row r="2" spans="1:17" x14ac:dyDescent="0.25">
      <c r="A2" s="4"/>
    </row>
    <row r="3" spans="1:17" x14ac:dyDescent="0.25">
      <c r="A3" s="12" t="s">
        <v>180</v>
      </c>
      <c r="B3" s="12" t="s">
        <v>23</v>
      </c>
      <c r="C3" s="12" t="s">
        <v>181</v>
      </c>
      <c r="D3" s="12" t="s">
        <v>182</v>
      </c>
      <c r="E3" s="12" t="s">
        <v>183</v>
      </c>
      <c r="F3" s="19" t="s">
        <v>184</v>
      </c>
      <c r="G3" s="19" t="s">
        <v>185</v>
      </c>
      <c r="H3" s="19" t="s">
        <v>186</v>
      </c>
      <c r="I3" s="19" t="s">
        <v>187</v>
      </c>
      <c r="J3" s="19" t="s">
        <v>31</v>
      </c>
      <c r="K3" s="12" t="s">
        <v>30</v>
      </c>
      <c r="L3" s="12" t="s">
        <v>95</v>
      </c>
      <c r="M3" s="12" t="s">
        <v>109</v>
      </c>
      <c r="N3" s="12" t="s">
        <v>26</v>
      </c>
      <c r="O3" s="12" t="s">
        <v>188</v>
      </c>
      <c r="P3" s="12" t="s">
        <v>189</v>
      </c>
      <c r="Q3" s="12" t="s">
        <v>46</v>
      </c>
    </row>
    <row r="4" spans="1:17" ht="60.75" customHeight="1" x14ac:dyDescent="0.25">
      <c r="A4" s="2" t="str">
        <f>"TC-FB-"&amp;TEXT(ROW()-3,"000")</f>
        <v>TC-FB-001</v>
      </c>
      <c r="B4" s="2" t="s">
        <v>113</v>
      </c>
      <c r="C4" s="2" t="s">
        <v>674</v>
      </c>
      <c r="D4" s="2" t="s">
        <v>677</v>
      </c>
      <c r="E4" s="2" t="s">
        <v>190</v>
      </c>
      <c r="F4" s="13" t="s">
        <v>191</v>
      </c>
      <c r="G4" s="2" t="s">
        <v>673</v>
      </c>
      <c r="H4" s="2" t="s">
        <v>192</v>
      </c>
      <c r="I4" s="13" t="s">
        <v>478</v>
      </c>
      <c r="J4" s="13" t="s">
        <v>580</v>
      </c>
      <c r="K4" s="2"/>
      <c r="L4" s="8" t="s">
        <v>6</v>
      </c>
      <c r="M4" s="2" t="s">
        <v>115</v>
      </c>
      <c r="N4" s="2"/>
      <c r="O4" s="2"/>
      <c r="P4" s="2"/>
      <c r="Q4" s="2"/>
    </row>
    <row r="5" spans="1:17" ht="60.75" customHeight="1" x14ac:dyDescent="0.25">
      <c r="A5" s="2" t="str">
        <f t="shared" ref="A5:A59" si="0">"TC-FB-"&amp;TEXT(ROW()-3,"000")</f>
        <v>TC-FB-002</v>
      </c>
      <c r="B5" s="2" t="s">
        <v>113</v>
      </c>
      <c r="C5" s="2" t="s">
        <v>674</v>
      </c>
      <c r="D5" s="2" t="s">
        <v>677</v>
      </c>
      <c r="E5" s="2" t="s">
        <v>190</v>
      </c>
      <c r="F5" s="13" t="s">
        <v>581</v>
      </c>
      <c r="G5" s="2" t="s">
        <v>673</v>
      </c>
      <c r="H5" s="2" t="s">
        <v>192</v>
      </c>
      <c r="I5" s="13" t="s">
        <v>480</v>
      </c>
      <c r="J5" s="13" t="s">
        <v>194</v>
      </c>
      <c r="K5" s="2"/>
      <c r="L5" s="8" t="s">
        <v>6</v>
      </c>
      <c r="M5" s="2" t="s">
        <v>195</v>
      </c>
      <c r="N5" s="2"/>
      <c r="O5" s="2"/>
      <c r="P5" s="2"/>
      <c r="Q5" s="2"/>
    </row>
    <row r="6" spans="1:17" ht="60.75" customHeight="1" x14ac:dyDescent="0.25">
      <c r="A6" s="2" t="str">
        <f t="shared" si="0"/>
        <v>TC-FB-003</v>
      </c>
      <c r="B6" s="2" t="s">
        <v>113</v>
      </c>
      <c r="C6" s="2" t="s">
        <v>674</v>
      </c>
      <c r="D6" s="2" t="s">
        <v>677</v>
      </c>
      <c r="E6" s="2" t="s">
        <v>190</v>
      </c>
      <c r="F6" s="13" t="s">
        <v>193</v>
      </c>
      <c r="G6" s="2" t="s">
        <v>673</v>
      </c>
      <c r="H6" s="2" t="s">
        <v>192</v>
      </c>
      <c r="I6" s="13" t="s">
        <v>479</v>
      </c>
      <c r="J6" s="13" t="s">
        <v>579</v>
      </c>
      <c r="K6" s="2"/>
      <c r="L6" s="8" t="s">
        <v>6</v>
      </c>
      <c r="M6" s="2" t="s">
        <v>115</v>
      </c>
      <c r="N6" s="2"/>
      <c r="O6" s="2"/>
      <c r="P6" s="2"/>
      <c r="Q6" s="2"/>
    </row>
    <row r="7" spans="1:17" ht="60.75" customHeight="1" x14ac:dyDescent="0.25">
      <c r="A7" s="2" t="str">
        <f t="shared" si="0"/>
        <v>TC-FB-004</v>
      </c>
      <c r="B7" s="2" t="s">
        <v>113</v>
      </c>
      <c r="C7" s="2" t="s">
        <v>674</v>
      </c>
      <c r="D7" s="2" t="s">
        <v>677</v>
      </c>
      <c r="E7" s="2" t="s">
        <v>190</v>
      </c>
      <c r="F7" s="13" t="s">
        <v>196</v>
      </c>
      <c r="G7" s="2" t="s">
        <v>673</v>
      </c>
      <c r="H7" s="2" t="s">
        <v>192</v>
      </c>
      <c r="I7" s="13" t="s">
        <v>483</v>
      </c>
      <c r="J7" s="13" t="s">
        <v>197</v>
      </c>
      <c r="K7" s="2"/>
      <c r="L7" s="8" t="s">
        <v>6</v>
      </c>
      <c r="M7" s="2" t="s">
        <v>195</v>
      </c>
      <c r="N7" s="2"/>
      <c r="O7" s="2"/>
      <c r="P7" s="2"/>
      <c r="Q7" s="2"/>
    </row>
    <row r="8" spans="1:17" ht="60.75" customHeight="1" x14ac:dyDescent="0.25">
      <c r="A8" s="2" t="str">
        <f t="shared" si="0"/>
        <v>TC-FB-005</v>
      </c>
      <c r="B8" s="2" t="s">
        <v>113</v>
      </c>
      <c r="C8" s="2" t="s">
        <v>674</v>
      </c>
      <c r="D8" s="2" t="s">
        <v>677</v>
      </c>
      <c r="E8" s="2" t="s">
        <v>190</v>
      </c>
      <c r="F8" s="13" t="s">
        <v>198</v>
      </c>
      <c r="G8" s="2" t="s">
        <v>673</v>
      </c>
      <c r="H8" s="2" t="s">
        <v>199</v>
      </c>
      <c r="I8" s="13" t="s">
        <v>481</v>
      </c>
      <c r="J8" s="13" t="s">
        <v>200</v>
      </c>
      <c r="K8" s="2"/>
      <c r="L8" s="8" t="s">
        <v>6</v>
      </c>
      <c r="M8" s="2" t="s">
        <v>115</v>
      </c>
      <c r="N8" s="2"/>
      <c r="O8" s="2"/>
      <c r="P8" s="2"/>
      <c r="Q8" s="2"/>
    </row>
    <row r="9" spans="1:17" ht="60.75" customHeight="1" x14ac:dyDescent="0.25">
      <c r="A9" s="2" t="str">
        <f t="shared" si="0"/>
        <v>TC-FB-006</v>
      </c>
      <c r="B9" s="2" t="s">
        <v>113</v>
      </c>
      <c r="C9" s="2" t="s">
        <v>674</v>
      </c>
      <c r="D9" s="2" t="s">
        <v>677</v>
      </c>
      <c r="E9" s="2" t="s">
        <v>190</v>
      </c>
      <c r="F9" s="13" t="s">
        <v>201</v>
      </c>
      <c r="G9" s="2" t="s">
        <v>675</v>
      </c>
      <c r="H9" s="2" t="s">
        <v>202</v>
      </c>
      <c r="I9" s="13" t="s">
        <v>484</v>
      </c>
      <c r="J9" s="13" t="s">
        <v>482</v>
      </c>
      <c r="K9" s="2"/>
      <c r="L9" s="8" t="s">
        <v>6</v>
      </c>
      <c r="M9" s="2" t="s">
        <v>115</v>
      </c>
      <c r="N9" s="2"/>
      <c r="O9" s="2"/>
      <c r="P9" s="2"/>
      <c r="Q9" s="2"/>
    </row>
    <row r="10" spans="1:17" ht="60.75" customHeight="1" x14ac:dyDescent="0.25">
      <c r="A10" s="2" t="str">
        <f t="shared" si="0"/>
        <v>TC-FB-007</v>
      </c>
      <c r="B10" s="2" t="s">
        <v>113</v>
      </c>
      <c r="C10" s="2" t="s">
        <v>674</v>
      </c>
      <c r="D10" s="2" t="s">
        <v>677</v>
      </c>
      <c r="E10" s="2" t="s">
        <v>190</v>
      </c>
      <c r="F10" s="13" t="s">
        <v>203</v>
      </c>
      <c r="G10" s="2" t="s">
        <v>676</v>
      </c>
      <c r="H10" s="2" t="s">
        <v>204</v>
      </c>
      <c r="I10" s="13" t="s">
        <v>485</v>
      </c>
      <c r="J10" s="13" t="s">
        <v>205</v>
      </c>
      <c r="K10" s="2"/>
      <c r="L10" s="8" t="s">
        <v>6</v>
      </c>
      <c r="M10" s="2" t="s">
        <v>115</v>
      </c>
      <c r="N10" s="2"/>
      <c r="O10" s="2"/>
      <c r="P10" s="2"/>
      <c r="Q10" s="2"/>
    </row>
    <row r="11" spans="1:17" ht="60.75" customHeight="1" x14ac:dyDescent="0.25">
      <c r="A11" s="2" t="str">
        <f t="shared" si="0"/>
        <v>TC-FB-008</v>
      </c>
      <c r="B11" s="2" t="s">
        <v>117</v>
      </c>
      <c r="C11" s="2" t="s">
        <v>674</v>
      </c>
      <c r="D11" s="2" t="s">
        <v>677</v>
      </c>
      <c r="E11" s="2" t="s">
        <v>206</v>
      </c>
      <c r="F11" s="13" t="s">
        <v>582</v>
      </c>
      <c r="G11" s="2" t="s">
        <v>673</v>
      </c>
      <c r="H11" s="2" t="s">
        <v>207</v>
      </c>
      <c r="I11" s="13" t="s">
        <v>486</v>
      </c>
      <c r="J11" s="13" t="s">
        <v>518</v>
      </c>
      <c r="K11" s="2"/>
      <c r="L11" s="8" t="s">
        <v>6</v>
      </c>
      <c r="M11" s="2" t="s">
        <v>119</v>
      </c>
      <c r="N11" s="2"/>
      <c r="O11" s="2"/>
      <c r="P11" s="2"/>
      <c r="Q11" s="2"/>
    </row>
    <row r="12" spans="1:17" ht="60.75" customHeight="1" x14ac:dyDescent="0.25">
      <c r="A12" s="2" t="str">
        <f t="shared" si="0"/>
        <v>TC-FB-009</v>
      </c>
      <c r="B12" s="2" t="s">
        <v>117</v>
      </c>
      <c r="C12" s="2" t="s">
        <v>674</v>
      </c>
      <c r="D12" s="2" t="s">
        <v>677</v>
      </c>
      <c r="E12" s="2" t="s">
        <v>206</v>
      </c>
      <c r="F12" s="13" t="s">
        <v>516</v>
      </c>
      <c r="G12" s="2" t="s">
        <v>673</v>
      </c>
      <c r="H12" s="2" t="s">
        <v>209</v>
      </c>
      <c r="I12" s="13" t="s">
        <v>583</v>
      </c>
      <c r="J12" s="13" t="s">
        <v>518</v>
      </c>
      <c r="K12" s="2"/>
      <c r="L12" s="8" t="s">
        <v>6</v>
      </c>
      <c r="M12" s="2" t="s">
        <v>119</v>
      </c>
      <c r="N12" s="2"/>
      <c r="O12" s="2"/>
      <c r="P12" s="2"/>
      <c r="Q12" s="2"/>
    </row>
    <row r="13" spans="1:17" ht="60.75" customHeight="1" x14ac:dyDescent="0.25">
      <c r="A13" s="2" t="str">
        <f t="shared" si="0"/>
        <v>TC-FB-010</v>
      </c>
      <c r="B13" s="2" t="s">
        <v>117</v>
      </c>
      <c r="C13" s="2" t="s">
        <v>674</v>
      </c>
      <c r="D13" s="2" t="s">
        <v>677</v>
      </c>
      <c r="E13" s="2" t="s">
        <v>206</v>
      </c>
      <c r="F13" s="13" t="s">
        <v>517</v>
      </c>
      <c r="G13" s="2" t="s">
        <v>673</v>
      </c>
      <c r="H13" s="2" t="s">
        <v>207</v>
      </c>
      <c r="I13" s="13" t="s">
        <v>486</v>
      </c>
      <c r="J13" s="13" t="s">
        <v>588</v>
      </c>
      <c r="K13" s="2"/>
      <c r="L13" s="8" t="s">
        <v>6</v>
      </c>
      <c r="M13" s="2" t="s">
        <v>115</v>
      </c>
      <c r="N13" s="2"/>
      <c r="O13" s="2"/>
      <c r="P13" s="2"/>
      <c r="Q13" s="2"/>
    </row>
    <row r="14" spans="1:17" ht="60.75" customHeight="1" x14ac:dyDescent="0.25">
      <c r="A14" s="2" t="str">
        <f t="shared" si="0"/>
        <v>TC-FB-011</v>
      </c>
      <c r="B14" s="2" t="s">
        <v>117</v>
      </c>
      <c r="C14" s="2" t="s">
        <v>674</v>
      </c>
      <c r="D14" s="2" t="s">
        <v>677</v>
      </c>
      <c r="E14" s="2" t="s">
        <v>190</v>
      </c>
      <c r="F14" s="13" t="s">
        <v>210</v>
      </c>
      <c r="G14" s="2" t="s">
        <v>673</v>
      </c>
      <c r="H14" s="2" t="s">
        <v>211</v>
      </c>
      <c r="I14" s="13" t="s">
        <v>487</v>
      </c>
      <c r="J14" s="13" t="s">
        <v>212</v>
      </c>
      <c r="K14" s="2"/>
      <c r="L14" s="8" t="s">
        <v>6</v>
      </c>
      <c r="M14" s="2" t="s">
        <v>115</v>
      </c>
      <c r="N14" s="2"/>
      <c r="O14" s="2"/>
      <c r="P14" s="2"/>
      <c r="Q14" s="2"/>
    </row>
    <row r="15" spans="1:17" ht="60.75" customHeight="1" x14ac:dyDescent="0.25">
      <c r="A15" s="2" t="str">
        <f t="shared" si="0"/>
        <v>TC-FB-012</v>
      </c>
      <c r="B15" s="2" t="s">
        <v>117</v>
      </c>
      <c r="C15" s="2" t="s">
        <v>674</v>
      </c>
      <c r="D15" s="2" t="s">
        <v>677</v>
      </c>
      <c r="E15" s="2" t="s">
        <v>190</v>
      </c>
      <c r="F15" s="13" t="s">
        <v>213</v>
      </c>
      <c r="G15" s="2" t="s">
        <v>673</v>
      </c>
      <c r="H15" s="2" t="s">
        <v>211</v>
      </c>
      <c r="I15" s="13" t="s">
        <v>488</v>
      </c>
      <c r="J15" s="13" t="s">
        <v>212</v>
      </c>
      <c r="K15" s="2"/>
      <c r="L15" s="8" t="s">
        <v>6</v>
      </c>
      <c r="M15" s="2" t="s">
        <v>195</v>
      </c>
      <c r="N15" s="2"/>
      <c r="O15" s="2"/>
      <c r="P15" s="2"/>
      <c r="Q15" s="2"/>
    </row>
    <row r="16" spans="1:17" ht="60.75" customHeight="1" x14ac:dyDescent="0.25">
      <c r="A16" s="2" t="str">
        <f t="shared" si="0"/>
        <v>TC-FB-013</v>
      </c>
      <c r="B16" s="2" t="s">
        <v>117</v>
      </c>
      <c r="C16" s="2" t="s">
        <v>674</v>
      </c>
      <c r="D16" s="2" t="s">
        <v>677</v>
      </c>
      <c r="E16" s="2" t="s">
        <v>285</v>
      </c>
      <c r="F16" s="13" t="s">
        <v>286</v>
      </c>
      <c r="G16" s="2" t="s">
        <v>673</v>
      </c>
      <c r="H16" s="2" t="s">
        <v>287</v>
      </c>
      <c r="I16" s="13" t="s">
        <v>512</v>
      </c>
      <c r="J16" s="13" t="s">
        <v>288</v>
      </c>
      <c r="K16" s="2"/>
      <c r="L16" s="8" t="s">
        <v>6</v>
      </c>
      <c r="M16" s="2" t="s">
        <v>119</v>
      </c>
      <c r="N16" s="2"/>
      <c r="O16" s="2"/>
      <c r="P16" s="2"/>
      <c r="Q16" s="2"/>
    </row>
    <row r="17" spans="1:17" ht="60.75" customHeight="1" x14ac:dyDescent="0.25">
      <c r="A17" s="2" t="str">
        <f t="shared" si="0"/>
        <v>TC-FB-014</v>
      </c>
      <c r="B17" s="2" t="s">
        <v>117</v>
      </c>
      <c r="C17" s="2" t="s">
        <v>674</v>
      </c>
      <c r="D17" s="2" t="s">
        <v>677</v>
      </c>
      <c r="E17" s="2" t="s">
        <v>271</v>
      </c>
      <c r="F17" s="13" t="s">
        <v>289</v>
      </c>
      <c r="G17" s="2" t="s">
        <v>673</v>
      </c>
      <c r="H17" s="2" t="s">
        <v>290</v>
      </c>
      <c r="I17" s="13" t="s">
        <v>513</v>
      </c>
      <c r="J17" s="13" t="s">
        <v>291</v>
      </c>
      <c r="K17" s="2"/>
      <c r="L17" s="8" t="s">
        <v>6</v>
      </c>
      <c r="M17" s="2" t="s">
        <v>115</v>
      </c>
      <c r="N17" s="2"/>
      <c r="O17" s="2"/>
      <c r="P17" s="2"/>
      <c r="Q17" s="2"/>
    </row>
    <row r="18" spans="1:17" ht="60.75" customHeight="1" x14ac:dyDescent="0.25">
      <c r="A18" s="2" t="str">
        <f t="shared" si="0"/>
        <v>TC-FB-015</v>
      </c>
      <c r="B18" s="2" t="s">
        <v>117</v>
      </c>
      <c r="C18" s="2" t="s">
        <v>674</v>
      </c>
      <c r="D18" s="2" t="s">
        <v>677</v>
      </c>
      <c r="E18" s="2" t="s">
        <v>285</v>
      </c>
      <c r="F18" s="13" t="s">
        <v>293</v>
      </c>
      <c r="G18" s="2" t="s">
        <v>673</v>
      </c>
      <c r="H18" s="2" t="s">
        <v>294</v>
      </c>
      <c r="I18" s="13" t="s">
        <v>515</v>
      </c>
      <c r="J18" s="13" t="s">
        <v>598</v>
      </c>
      <c r="K18" s="2"/>
      <c r="L18" s="8" t="s">
        <v>6</v>
      </c>
      <c r="M18" s="2" t="s">
        <v>119</v>
      </c>
      <c r="N18" s="2"/>
      <c r="O18" s="2"/>
      <c r="P18" s="2"/>
      <c r="Q18" s="2"/>
    </row>
    <row r="19" spans="1:17" ht="60.75" customHeight="1" x14ac:dyDescent="0.25">
      <c r="A19" s="2" t="str">
        <f t="shared" si="0"/>
        <v>TC-FB-016</v>
      </c>
      <c r="B19" s="2" t="s">
        <v>120</v>
      </c>
      <c r="C19" s="2" t="s">
        <v>674</v>
      </c>
      <c r="D19" s="2" t="s">
        <v>677</v>
      </c>
      <c r="E19" s="2" t="s">
        <v>214</v>
      </c>
      <c r="F19" s="13" t="s">
        <v>215</v>
      </c>
      <c r="G19" s="2" t="s">
        <v>673</v>
      </c>
      <c r="H19" s="2" t="s">
        <v>216</v>
      </c>
      <c r="I19" s="13" t="s">
        <v>489</v>
      </c>
      <c r="J19" s="13" t="s">
        <v>217</v>
      </c>
      <c r="K19" s="2"/>
      <c r="L19" s="8" t="s">
        <v>6</v>
      </c>
      <c r="M19" s="2" t="s">
        <v>119</v>
      </c>
      <c r="N19" s="2"/>
      <c r="O19" s="2"/>
      <c r="P19" s="2"/>
      <c r="Q19" s="2"/>
    </row>
    <row r="20" spans="1:17" ht="60.75" customHeight="1" x14ac:dyDescent="0.25">
      <c r="A20" s="2" t="str">
        <f t="shared" si="0"/>
        <v>TC-FB-017</v>
      </c>
      <c r="B20" s="2" t="s">
        <v>120</v>
      </c>
      <c r="C20" s="2" t="s">
        <v>674</v>
      </c>
      <c r="D20" s="2" t="s">
        <v>677</v>
      </c>
      <c r="E20" s="2" t="s">
        <v>214</v>
      </c>
      <c r="F20" s="13" t="s">
        <v>218</v>
      </c>
      <c r="G20" s="2" t="s">
        <v>673</v>
      </c>
      <c r="H20" s="2" t="s">
        <v>219</v>
      </c>
      <c r="I20" s="13" t="s">
        <v>490</v>
      </c>
      <c r="J20" s="13" t="s">
        <v>519</v>
      </c>
      <c r="K20" s="2"/>
      <c r="L20" s="8" t="s">
        <v>6</v>
      </c>
      <c r="M20" s="2" t="s">
        <v>119</v>
      </c>
      <c r="N20" s="2"/>
      <c r="O20" s="2"/>
      <c r="P20" s="2"/>
      <c r="Q20" s="2"/>
    </row>
    <row r="21" spans="1:17" ht="60.75" customHeight="1" x14ac:dyDescent="0.25">
      <c r="A21" s="2" t="str">
        <f t="shared" si="0"/>
        <v>TC-FB-018</v>
      </c>
      <c r="B21" s="2" t="s">
        <v>120</v>
      </c>
      <c r="C21" s="2" t="s">
        <v>674</v>
      </c>
      <c r="D21" s="2" t="s">
        <v>677</v>
      </c>
      <c r="E21" s="2" t="s">
        <v>214</v>
      </c>
      <c r="F21" s="13" t="s">
        <v>220</v>
      </c>
      <c r="G21" s="2" t="s">
        <v>673</v>
      </c>
      <c r="H21" s="2" t="s">
        <v>221</v>
      </c>
      <c r="I21" s="13" t="s">
        <v>491</v>
      </c>
      <c r="J21" s="13" t="s">
        <v>520</v>
      </c>
      <c r="K21" s="2"/>
      <c r="L21" s="8" t="s">
        <v>6</v>
      </c>
      <c r="M21" s="2" t="s">
        <v>115</v>
      </c>
      <c r="N21" s="2"/>
      <c r="O21" s="2"/>
      <c r="P21" s="2"/>
      <c r="Q21" s="2"/>
    </row>
    <row r="22" spans="1:17" ht="60.75" customHeight="1" x14ac:dyDescent="0.25">
      <c r="A22" s="2" t="str">
        <f t="shared" si="0"/>
        <v>TC-FB-019</v>
      </c>
      <c r="B22" s="2" t="s">
        <v>120</v>
      </c>
      <c r="C22" s="2" t="s">
        <v>674</v>
      </c>
      <c r="D22" s="2" t="s">
        <v>677</v>
      </c>
      <c r="E22" s="2" t="s">
        <v>214</v>
      </c>
      <c r="F22" s="13" t="s">
        <v>222</v>
      </c>
      <c r="G22" s="2" t="s">
        <v>673</v>
      </c>
      <c r="H22" s="2" t="s">
        <v>223</v>
      </c>
      <c r="I22" s="13" t="s">
        <v>492</v>
      </c>
      <c r="J22" s="13" t="s">
        <v>521</v>
      </c>
      <c r="K22" s="2"/>
      <c r="L22" s="8" t="s">
        <v>6</v>
      </c>
      <c r="M22" s="2" t="s">
        <v>115</v>
      </c>
      <c r="N22" s="2"/>
      <c r="O22" s="2"/>
      <c r="P22" s="2"/>
      <c r="Q22" s="2"/>
    </row>
    <row r="23" spans="1:17" ht="60.75" customHeight="1" x14ac:dyDescent="0.25">
      <c r="A23" s="2" t="str">
        <f t="shared" si="0"/>
        <v>TC-FB-020</v>
      </c>
      <c r="B23" s="2" t="s">
        <v>120</v>
      </c>
      <c r="C23" s="2" t="s">
        <v>674</v>
      </c>
      <c r="D23" s="2" t="s">
        <v>677</v>
      </c>
      <c r="E23" s="2" t="s">
        <v>214</v>
      </c>
      <c r="F23" s="13" t="s">
        <v>224</v>
      </c>
      <c r="G23" s="2" t="s">
        <v>673</v>
      </c>
      <c r="H23" s="2" t="s">
        <v>225</v>
      </c>
      <c r="I23" s="13" t="s">
        <v>493</v>
      </c>
      <c r="J23" s="13" t="s">
        <v>522</v>
      </c>
      <c r="K23" s="2"/>
      <c r="L23" s="8" t="s">
        <v>6</v>
      </c>
      <c r="M23" s="2" t="s">
        <v>115</v>
      </c>
      <c r="N23" s="2"/>
      <c r="O23" s="2"/>
      <c r="P23" s="2"/>
      <c r="Q23" s="2"/>
    </row>
    <row r="24" spans="1:17" ht="60.75" customHeight="1" x14ac:dyDescent="0.25">
      <c r="A24" s="2" t="str">
        <f t="shared" si="0"/>
        <v>TC-FB-021</v>
      </c>
      <c r="B24" s="2" t="s">
        <v>120</v>
      </c>
      <c r="C24" s="2" t="s">
        <v>674</v>
      </c>
      <c r="D24" s="2" t="s">
        <v>677</v>
      </c>
      <c r="E24" s="2" t="s">
        <v>214</v>
      </c>
      <c r="F24" s="13" t="s">
        <v>226</v>
      </c>
      <c r="G24" s="2" t="s">
        <v>673</v>
      </c>
      <c r="H24" s="2" t="s">
        <v>227</v>
      </c>
      <c r="I24" s="13" t="s">
        <v>494</v>
      </c>
      <c r="J24" s="13" t="s">
        <v>523</v>
      </c>
      <c r="K24" s="2"/>
      <c r="L24" s="8" t="s">
        <v>6</v>
      </c>
      <c r="M24" s="2" t="s">
        <v>115</v>
      </c>
      <c r="N24" s="2"/>
      <c r="O24" s="2"/>
      <c r="P24" s="2"/>
      <c r="Q24" s="2"/>
    </row>
    <row r="25" spans="1:17" ht="60.75" customHeight="1" x14ac:dyDescent="0.25">
      <c r="A25" s="2" t="str">
        <f t="shared" si="0"/>
        <v>TC-FB-022</v>
      </c>
      <c r="B25" s="2" t="s">
        <v>120</v>
      </c>
      <c r="C25" s="2" t="s">
        <v>674</v>
      </c>
      <c r="D25" s="2" t="s">
        <v>677</v>
      </c>
      <c r="E25" s="2" t="s">
        <v>214</v>
      </c>
      <c r="F25" s="13" t="s">
        <v>228</v>
      </c>
      <c r="G25" s="2" t="s">
        <v>673</v>
      </c>
      <c r="H25" s="2" t="s">
        <v>229</v>
      </c>
      <c r="I25" s="13" t="s">
        <v>495</v>
      </c>
      <c r="J25" s="13" t="s">
        <v>230</v>
      </c>
      <c r="K25" s="2"/>
      <c r="L25" s="8" t="s">
        <v>6</v>
      </c>
      <c r="M25" s="2" t="s">
        <v>115</v>
      </c>
      <c r="N25" s="2"/>
      <c r="O25" s="2"/>
      <c r="P25" s="2"/>
      <c r="Q25" s="2"/>
    </row>
    <row r="26" spans="1:17" ht="60.75" customHeight="1" x14ac:dyDescent="0.25">
      <c r="A26" s="2" t="str">
        <f t="shared" si="0"/>
        <v>TC-FB-023</v>
      </c>
      <c r="B26" s="2" t="s">
        <v>120</v>
      </c>
      <c r="C26" s="2" t="s">
        <v>674</v>
      </c>
      <c r="D26" s="2" t="s">
        <v>677</v>
      </c>
      <c r="E26" s="2" t="s">
        <v>214</v>
      </c>
      <c r="F26" s="13" t="s">
        <v>231</v>
      </c>
      <c r="G26" s="2" t="s">
        <v>673</v>
      </c>
      <c r="H26" s="2" t="s">
        <v>232</v>
      </c>
      <c r="I26" s="13" t="s">
        <v>527</v>
      </c>
      <c r="J26" s="13" t="s">
        <v>524</v>
      </c>
      <c r="K26" s="2"/>
      <c r="L26" s="8" t="s">
        <v>6</v>
      </c>
      <c r="M26" s="2" t="s">
        <v>119</v>
      </c>
      <c r="N26" s="2"/>
      <c r="O26" s="2"/>
      <c r="P26" s="2"/>
      <c r="Q26" s="2"/>
    </row>
    <row r="27" spans="1:17" ht="60.75" customHeight="1" x14ac:dyDescent="0.25">
      <c r="A27" s="2" t="str">
        <f t="shared" si="0"/>
        <v>TC-FB-024</v>
      </c>
      <c r="B27" s="2" t="s">
        <v>120</v>
      </c>
      <c r="C27" s="2" t="s">
        <v>674</v>
      </c>
      <c r="D27" s="2" t="s">
        <v>677</v>
      </c>
      <c r="E27" s="2" t="s">
        <v>214</v>
      </c>
      <c r="F27" s="13" t="s">
        <v>233</v>
      </c>
      <c r="G27" s="2" t="s">
        <v>673</v>
      </c>
      <c r="H27" s="2" t="s">
        <v>234</v>
      </c>
      <c r="I27" s="13" t="s">
        <v>496</v>
      </c>
      <c r="J27" s="13" t="s">
        <v>525</v>
      </c>
      <c r="K27" s="2"/>
      <c r="L27" s="8" t="s">
        <v>6</v>
      </c>
      <c r="M27" s="2" t="s">
        <v>119</v>
      </c>
      <c r="N27" s="2"/>
      <c r="O27" s="2"/>
      <c r="P27" s="2"/>
      <c r="Q27" s="2"/>
    </row>
    <row r="28" spans="1:17" ht="60.75" customHeight="1" x14ac:dyDescent="0.25">
      <c r="A28" s="2" t="str">
        <f t="shared" si="0"/>
        <v>TC-FB-025</v>
      </c>
      <c r="B28" s="2" t="s">
        <v>120</v>
      </c>
      <c r="C28" s="2" t="s">
        <v>674</v>
      </c>
      <c r="D28" s="2" t="s">
        <v>677</v>
      </c>
      <c r="E28" s="2" t="s">
        <v>214</v>
      </c>
      <c r="F28" s="13" t="s">
        <v>235</v>
      </c>
      <c r="G28" s="2" t="s">
        <v>673</v>
      </c>
      <c r="H28" s="2" t="s">
        <v>236</v>
      </c>
      <c r="I28" s="13" t="s">
        <v>497</v>
      </c>
      <c r="J28" s="13" t="s">
        <v>526</v>
      </c>
      <c r="K28" s="2"/>
      <c r="L28" s="8" t="s">
        <v>6</v>
      </c>
      <c r="M28" s="2" t="s">
        <v>119</v>
      </c>
      <c r="N28" s="2"/>
      <c r="O28" s="2"/>
      <c r="P28" s="2"/>
      <c r="Q28" s="2"/>
    </row>
    <row r="29" spans="1:17" ht="60.75" customHeight="1" x14ac:dyDescent="0.25">
      <c r="A29" s="2" t="str">
        <f t="shared" si="0"/>
        <v>TC-FB-026</v>
      </c>
      <c r="B29" s="2" t="s">
        <v>123</v>
      </c>
      <c r="C29" s="2" t="s">
        <v>674</v>
      </c>
      <c r="D29" s="2" t="s">
        <v>677</v>
      </c>
      <c r="E29" s="2" t="s">
        <v>214</v>
      </c>
      <c r="F29" s="13" t="s">
        <v>237</v>
      </c>
      <c r="G29" s="2" t="s">
        <v>673</v>
      </c>
      <c r="H29" s="2" t="s">
        <v>238</v>
      </c>
      <c r="I29" s="13" t="s">
        <v>498</v>
      </c>
      <c r="J29" s="13" t="s">
        <v>528</v>
      </c>
      <c r="K29" s="2"/>
      <c r="L29" s="8" t="s">
        <v>6</v>
      </c>
      <c r="M29" s="2" t="s">
        <v>115</v>
      </c>
      <c r="N29" s="2"/>
      <c r="O29" s="2"/>
      <c r="P29" s="2"/>
      <c r="Q29" s="2"/>
    </row>
    <row r="30" spans="1:17" ht="60.75" customHeight="1" x14ac:dyDescent="0.25">
      <c r="A30" s="2" t="str">
        <f t="shared" si="0"/>
        <v>TC-FB-027</v>
      </c>
      <c r="B30" s="2" t="s">
        <v>123</v>
      </c>
      <c r="C30" s="2" t="s">
        <v>674</v>
      </c>
      <c r="D30" s="2" t="s">
        <v>677</v>
      </c>
      <c r="E30" s="2" t="s">
        <v>240</v>
      </c>
      <c r="F30" s="13" t="s">
        <v>241</v>
      </c>
      <c r="G30" s="2" t="s">
        <v>673</v>
      </c>
      <c r="H30" s="2" t="s">
        <v>242</v>
      </c>
      <c r="I30" s="13" t="s">
        <v>499</v>
      </c>
      <c r="J30" s="13" t="s">
        <v>243</v>
      </c>
      <c r="K30" s="2" t="s">
        <v>518</v>
      </c>
      <c r="L30" s="8" t="s">
        <v>7</v>
      </c>
      <c r="M30" s="2" t="s">
        <v>119</v>
      </c>
      <c r="N30" s="1" t="s">
        <v>27</v>
      </c>
      <c r="O30" s="2"/>
      <c r="P30" s="2"/>
      <c r="Q30" s="2"/>
    </row>
    <row r="31" spans="1:17" ht="60.75" customHeight="1" x14ac:dyDescent="0.25">
      <c r="A31" s="2" t="str">
        <f t="shared" si="0"/>
        <v>TC-FB-028</v>
      </c>
      <c r="B31" s="2" t="s">
        <v>123</v>
      </c>
      <c r="C31" s="2" t="s">
        <v>674</v>
      </c>
      <c r="D31" s="2" t="s">
        <v>677</v>
      </c>
      <c r="E31" s="2" t="s">
        <v>240</v>
      </c>
      <c r="F31" s="13" t="s">
        <v>244</v>
      </c>
      <c r="G31" s="2" t="s">
        <v>673</v>
      </c>
      <c r="H31" s="2" t="s">
        <v>245</v>
      </c>
      <c r="I31" s="13" t="s">
        <v>500</v>
      </c>
      <c r="J31" s="13" t="s">
        <v>246</v>
      </c>
      <c r="K31" s="2" t="s">
        <v>529</v>
      </c>
      <c r="L31" s="8" t="s">
        <v>7</v>
      </c>
      <c r="M31" s="2" t="s">
        <v>119</v>
      </c>
      <c r="N31" s="1" t="s">
        <v>27</v>
      </c>
      <c r="O31" s="2"/>
      <c r="P31" s="2"/>
      <c r="Q31" s="2" t="s">
        <v>530</v>
      </c>
    </row>
    <row r="32" spans="1:17" ht="60.75" customHeight="1" x14ac:dyDescent="0.25">
      <c r="A32" s="2" t="str">
        <f t="shared" si="0"/>
        <v>TC-FB-029</v>
      </c>
      <c r="B32" s="2" t="s">
        <v>123</v>
      </c>
      <c r="C32" s="2" t="s">
        <v>674</v>
      </c>
      <c r="D32" s="2" t="s">
        <v>677</v>
      </c>
      <c r="E32" s="2" t="s">
        <v>240</v>
      </c>
      <c r="F32" s="13" t="s">
        <v>247</v>
      </c>
      <c r="G32" s="2" t="s">
        <v>673</v>
      </c>
      <c r="H32" s="2" t="s">
        <v>248</v>
      </c>
      <c r="I32" s="13" t="s">
        <v>501</v>
      </c>
      <c r="J32" s="13" t="s">
        <v>249</v>
      </c>
      <c r="K32" s="2" t="s">
        <v>518</v>
      </c>
      <c r="L32" s="8" t="s">
        <v>7</v>
      </c>
      <c r="M32" s="2" t="s">
        <v>115</v>
      </c>
      <c r="N32" s="1" t="s">
        <v>559</v>
      </c>
      <c r="O32" s="2"/>
      <c r="P32" s="2"/>
      <c r="Q32" s="2"/>
    </row>
    <row r="33" spans="1:17" ht="60.75" customHeight="1" x14ac:dyDescent="0.25">
      <c r="A33" s="2" t="str">
        <f t="shared" si="0"/>
        <v>TC-FB-030</v>
      </c>
      <c r="B33" s="2" t="s">
        <v>123</v>
      </c>
      <c r="C33" s="2" t="s">
        <v>674</v>
      </c>
      <c r="D33" s="2" t="s">
        <v>677</v>
      </c>
      <c r="E33" s="2" t="s">
        <v>240</v>
      </c>
      <c r="F33" s="13" t="s">
        <v>250</v>
      </c>
      <c r="G33" s="2" t="s">
        <v>673</v>
      </c>
      <c r="H33" s="2" t="s">
        <v>251</v>
      </c>
      <c r="I33" s="13" t="s">
        <v>502</v>
      </c>
      <c r="J33" s="13" t="s">
        <v>249</v>
      </c>
      <c r="K33" s="2" t="s">
        <v>518</v>
      </c>
      <c r="L33" s="8" t="s">
        <v>7</v>
      </c>
      <c r="M33" s="2" t="s">
        <v>115</v>
      </c>
      <c r="N33" s="1" t="s">
        <v>559</v>
      </c>
      <c r="O33" s="2"/>
      <c r="P33" s="2"/>
      <c r="Q33" s="2"/>
    </row>
    <row r="34" spans="1:17" ht="60.75" customHeight="1" x14ac:dyDescent="0.25">
      <c r="A34" s="2" t="str">
        <f t="shared" si="0"/>
        <v>TC-FB-031</v>
      </c>
      <c r="B34" s="2" t="s">
        <v>123</v>
      </c>
      <c r="C34" s="2" t="s">
        <v>674</v>
      </c>
      <c r="D34" s="2" t="s">
        <v>677</v>
      </c>
      <c r="E34" s="2" t="s">
        <v>190</v>
      </c>
      <c r="F34" s="13" t="s">
        <v>252</v>
      </c>
      <c r="G34" s="2" t="s">
        <v>673</v>
      </c>
      <c r="H34" s="2" t="s">
        <v>253</v>
      </c>
      <c r="I34" s="13" t="s">
        <v>503</v>
      </c>
      <c r="J34" s="13" t="s">
        <v>254</v>
      </c>
      <c r="K34" s="2" t="s">
        <v>531</v>
      </c>
      <c r="L34" s="8" t="s">
        <v>7</v>
      </c>
      <c r="M34" s="2" t="s">
        <v>195</v>
      </c>
      <c r="N34" s="1" t="s">
        <v>560</v>
      </c>
      <c r="O34" s="2"/>
      <c r="P34" s="2"/>
      <c r="Q34" s="2"/>
    </row>
    <row r="35" spans="1:17" ht="60.75" customHeight="1" x14ac:dyDescent="0.25">
      <c r="A35" s="2" t="str">
        <f t="shared" si="0"/>
        <v>TC-FB-032</v>
      </c>
      <c r="B35" s="2" t="s">
        <v>123</v>
      </c>
      <c r="C35" s="2" t="s">
        <v>674</v>
      </c>
      <c r="D35" s="2" t="s">
        <v>677</v>
      </c>
      <c r="E35" s="2" t="s">
        <v>206</v>
      </c>
      <c r="F35" s="13" t="s">
        <v>589</v>
      </c>
      <c r="G35" s="2" t="s">
        <v>673</v>
      </c>
      <c r="H35" s="2" t="s">
        <v>591</v>
      </c>
      <c r="I35" s="13" t="s">
        <v>590</v>
      </c>
      <c r="J35" s="13" t="s">
        <v>208</v>
      </c>
      <c r="K35" s="2"/>
      <c r="L35" s="8" t="s">
        <v>6</v>
      </c>
      <c r="M35" s="2" t="s">
        <v>115</v>
      </c>
      <c r="N35" s="2"/>
      <c r="O35" s="2"/>
      <c r="P35" s="2"/>
      <c r="Q35" s="2"/>
    </row>
    <row r="36" spans="1:17" ht="60.75" customHeight="1" x14ac:dyDescent="0.25">
      <c r="A36" s="2" t="str">
        <f t="shared" si="0"/>
        <v>TC-FB-033</v>
      </c>
      <c r="B36" s="2" t="s">
        <v>123</v>
      </c>
      <c r="C36" s="2" t="s">
        <v>674</v>
      </c>
      <c r="D36" s="2" t="s">
        <v>677</v>
      </c>
      <c r="E36" s="2" t="s">
        <v>214</v>
      </c>
      <c r="F36" s="13" t="s">
        <v>592</v>
      </c>
      <c r="G36" s="2" t="s">
        <v>673</v>
      </c>
      <c r="H36" s="2" t="s">
        <v>593</v>
      </c>
      <c r="I36" s="13" t="s">
        <v>594</v>
      </c>
      <c r="J36" s="13" t="s">
        <v>255</v>
      </c>
      <c r="K36" s="2" t="s">
        <v>532</v>
      </c>
      <c r="L36" s="8" t="s">
        <v>7</v>
      </c>
      <c r="M36" s="2" t="s">
        <v>115</v>
      </c>
      <c r="N36" s="1" t="s">
        <v>561</v>
      </c>
      <c r="O36" s="2"/>
      <c r="P36" s="2"/>
      <c r="Q36" s="2"/>
    </row>
    <row r="37" spans="1:17" ht="60.75" customHeight="1" x14ac:dyDescent="0.25">
      <c r="A37" s="2" t="str">
        <f t="shared" si="0"/>
        <v>TC-FB-034</v>
      </c>
      <c r="B37" s="2" t="s">
        <v>123</v>
      </c>
      <c r="C37" s="2" t="s">
        <v>674</v>
      </c>
      <c r="D37" s="2" t="s">
        <v>677</v>
      </c>
      <c r="E37" s="2" t="s">
        <v>214</v>
      </c>
      <c r="F37" s="13" t="s">
        <v>595</v>
      </c>
      <c r="G37" s="2" t="s">
        <v>673</v>
      </c>
      <c r="H37" s="2" t="s">
        <v>584</v>
      </c>
      <c r="I37" s="13" t="s">
        <v>585</v>
      </c>
      <c r="J37" s="13" t="s">
        <v>255</v>
      </c>
      <c r="K37" s="2" t="s">
        <v>532</v>
      </c>
      <c r="L37" s="8" t="s">
        <v>7</v>
      </c>
      <c r="M37" s="2" t="s">
        <v>115</v>
      </c>
      <c r="N37" s="1" t="s">
        <v>561</v>
      </c>
      <c r="O37" s="2"/>
      <c r="P37" s="2"/>
      <c r="Q37" s="2"/>
    </row>
    <row r="38" spans="1:17" ht="60.75" customHeight="1" x14ac:dyDescent="0.25">
      <c r="A38" s="2" t="str">
        <f t="shared" si="0"/>
        <v>TC-FB-035</v>
      </c>
      <c r="B38" s="2" t="s">
        <v>123</v>
      </c>
      <c r="C38" s="2" t="s">
        <v>674</v>
      </c>
      <c r="D38" s="2" t="s">
        <v>677</v>
      </c>
      <c r="E38" s="2" t="s">
        <v>240</v>
      </c>
      <c r="F38" s="13" t="s">
        <v>596</v>
      </c>
      <c r="G38" s="2" t="s">
        <v>673</v>
      </c>
      <c r="H38" s="2" t="s">
        <v>586</v>
      </c>
      <c r="I38" s="13" t="s">
        <v>587</v>
      </c>
      <c r="J38" s="13" t="s">
        <v>255</v>
      </c>
      <c r="K38" s="2" t="s">
        <v>532</v>
      </c>
      <c r="L38" s="8" t="s">
        <v>7</v>
      </c>
      <c r="M38" s="2" t="s">
        <v>115</v>
      </c>
      <c r="N38" s="1" t="s">
        <v>561</v>
      </c>
      <c r="O38" s="2"/>
      <c r="P38" s="2"/>
      <c r="Q38" s="2"/>
    </row>
    <row r="39" spans="1:17" ht="60.75" customHeight="1" x14ac:dyDescent="0.25">
      <c r="A39" s="2" t="str">
        <f t="shared" si="0"/>
        <v>TC-FB-036</v>
      </c>
      <c r="B39" s="2" t="s">
        <v>123</v>
      </c>
      <c r="C39" s="2" t="s">
        <v>674</v>
      </c>
      <c r="D39" s="2" t="s">
        <v>677</v>
      </c>
      <c r="E39" s="2" t="s">
        <v>206</v>
      </c>
      <c r="F39" s="13" t="s">
        <v>256</v>
      </c>
      <c r="G39" s="2" t="s">
        <v>673</v>
      </c>
      <c r="H39" s="2" t="s">
        <v>257</v>
      </c>
      <c r="I39" s="13" t="s">
        <v>504</v>
      </c>
      <c r="J39" s="13" t="s">
        <v>258</v>
      </c>
      <c r="K39" s="2"/>
      <c r="L39" s="8" t="s">
        <v>6</v>
      </c>
      <c r="M39" s="2" t="s">
        <v>195</v>
      </c>
      <c r="N39" s="2"/>
      <c r="O39" s="2"/>
      <c r="P39" s="2"/>
      <c r="Q39" s="2"/>
    </row>
    <row r="40" spans="1:17" ht="60.75" customHeight="1" x14ac:dyDescent="0.25">
      <c r="A40" s="2" t="str">
        <f t="shared" si="0"/>
        <v>TC-FB-037</v>
      </c>
      <c r="B40" s="2" t="s">
        <v>123</v>
      </c>
      <c r="C40" s="2" t="s">
        <v>674</v>
      </c>
      <c r="D40" s="2" t="s">
        <v>677</v>
      </c>
      <c r="E40" s="2" t="s">
        <v>214</v>
      </c>
      <c r="F40" s="13" t="s">
        <v>259</v>
      </c>
      <c r="G40" s="2" t="s">
        <v>673</v>
      </c>
      <c r="H40" s="2" t="s">
        <v>260</v>
      </c>
      <c r="I40" s="13" t="s">
        <v>505</v>
      </c>
      <c r="J40" s="13" t="s">
        <v>261</v>
      </c>
      <c r="K40" s="2" t="s">
        <v>518</v>
      </c>
      <c r="L40" s="8" t="s">
        <v>7</v>
      </c>
      <c r="M40" s="2" t="s">
        <v>195</v>
      </c>
      <c r="N40" s="17" t="s">
        <v>562</v>
      </c>
      <c r="O40" s="2"/>
      <c r="P40" s="2"/>
      <c r="Q40" s="2"/>
    </row>
    <row r="41" spans="1:17" ht="60.75" customHeight="1" x14ac:dyDescent="0.25">
      <c r="A41" s="2" t="str">
        <f t="shared" si="0"/>
        <v>TC-FB-038</v>
      </c>
      <c r="B41" s="2" t="s">
        <v>123</v>
      </c>
      <c r="C41" s="2" t="s">
        <v>674</v>
      </c>
      <c r="D41" s="2" t="s">
        <v>677</v>
      </c>
      <c r="E41" s="2" t="s">
        <v>206</v>
      </c>
      <c r="F41" s="13" t="s">
        <v>262</v>
      </c>
      <c r="G41" s="2" t="s">
        <v>673</v>
      </c>
      <c r="H41" s="2" t="s">
        <v>263</v>
      </c>
      <c r="I41" s="13" t="s">
        <v>506</v>
      </c>
      <c r="J41" s="13" t="s">
        <v>264</v>
      </c>
      <c r="K41" s="2" t="s">
        <v>518</v>
      </c>
      <c r="L41" s="8" t="s">
        <v>6</v>
      </c>
      <c r="M41" s="2" t="s">
        <v>195</v>
      </c>
      <c r="N41" s="2"/>
      <c r="O41" s="2"/>
      <c r="P41" s="2"/>
      <c r="Q41" s="2"/>
    </row>
    <row r="42" spans="1:17" ht="60.75" customHeight="1" x14ac:dyDescent="0.25">
      <c r="A42" s="2" t="str">
        <f t="shared" si="0"/>
        <v>TC-FB-039</v>
      </c>
      <c r="B42" s="2" t="s">
        <v>123</v>
      </c>
      <c r="C42" s="2" t="s">
        <v>674</v>
      </c>
      <c r="D42" s="2" t="s">
        <v>677</v>
      </c>
      <c r="E42" s="2" t="s">
        <v>240</v>
      </c>
      <c r="F42" s="13" t="s">
        <v>266</v>
      </c>
      <c r="G42" s="2" t="s">
        <v>673</v>
      </c>
      <c r="H42" s="2" t="s">
        <v>267</v>
      </c>
      <c r="I42" s="13" t="s">
        <v>507</v>
      </c>
      <c r="J42" s="13" t="s">
        <v>569</v>
      </c>
      <c r="K42" s="2" t="s">
        <v>533</v>
      </c>
      <c r="L42" s="8" t="s">
        <v>7</v>
      </c>
      <c r="M42" s="2" t="s">
        <v>195</v>
      </c>
      <c r="N42" s="17" t="s">
        <v>617</v>
      </c>
      <c r="O42" s="2"/>
      <c r="P42" s="2"/>
      <c r="Q42" s="2" t="s">
        <v>720</v>
      </c>
    </row>
    <row r="43" spans="1:17" ht="60.75" customHeight="1" x14ac:dyDescent="0.25">
      <c r="A43" s="2" t="str">
        <f t="shared" si="0"/>
        <v>TC-FB-040</v>
      </c>
      <c r="B43" s="2" t="s">
        <v>126</v>
      </c>
      <c r="C43" s="2" t="s">
        <v>674</v>
      </c>
      <c r="D43" s="2" t="s">
        <v>677</v>
      </c>
      <c r="E43" s="2" t="s">
        <v>190</v>
      </c>
      <c r="F43" s="13" t="s">
        <v>653</v>
      </c>
      <c r="G43" s="2" t="s">
        <v>673</v>
      </c>
      <c r="H43" s="2" t="s">
        <v>269</v>
      </c>
      <c r="I43" s="13" t="s">
        <v>654</v>
      </c>
      <c r="J43" s="13" t="s">
        <v>270</v>
      </c>
      <c r="K43" s="2"/>
      <c r="L43" s="8" t="s">
        <v>6</v>
      </c>
      <c r="M43" s="2" t="s">
        <v>195</v>
      </c>
      <c r="N43" s="2"/>
      <c r="O43" s="2"/>
      <c r="P43" s="2"/>
      <c r="Q43" s="2"/>
    </row>
    <row r="44" spans="1:17" ht="60.75" customHeight="1" x14ac:dyDescent="0.25">
      <c r="A44" s="2" t="str">
        <f t="shared" si="0"/>
        <v>TC-FB-041</v>
      </c>
      <c r="B44" s="2" t="s">
        <v>126</v>
      </c>
      <c r="C44" s="2" t="s">
        <v>674</v>
      </c>
      <c r="D44" s="2" t="s">
        <v>677</v>
      </c>
      <c r="E44" s="2" t="s">
        <v>271</v>
      </c>
      <c r="F44" s="13" t="s">
        <v>272</v>
      </c>
      <c r="G44" s="2" t="s">
        <v>673</v>
      </c>
      <c r="H44" s="2" t="s">
        <v>273</v>
      </c>
      <c r="I44" s="13" t="s">
        <v>508</v>
      </c>
      <c r="J44" s="13" t="s">
        <v>274</v>
      </c>
      <c r="K44" s="2"/>
      <c r="L44" s="8" t="s">
        <v>6</v>
      </c>
      <c r="M44" s="2" t="s">
        <v>115</v>
      </c>
      <c r="N44" s="2"/>
      <c r="O44" s="2"/>
      <c r="P44" s="2"/>
      <c r="Q44" s="2"/>
    </row>
    <row r="45" spans="1:17" ht="60.75" customHeight="1" x14ac:dyDescent="0.25">
      <c r="A45" s="2" t="str">
        <f t="shared" si="0"/>
        <v>TC-FB-042</v>
      </c>
      <c r="B45" s="2" t="s">
        <v>126</v>
      </c>
      <c r="C45" s="2" t="s">
        <v>674</v>
      </c>
      <c r="D45" s="2" t="s">
        <v>677</v>
      </c>
      <c r="E45" s="2" t="s">
        <v>206</v>
      </c>
      <c r="F45" s="13" t="s">
        <v>275</v>
      </c>
      <c r="G45" s="2" t="s">
        <v>673</v>
      </c>
      <c r="H45" s="2" t="s">
        <v>276</v>
      </c>
      <c r="I45" s="13" t="s">
        <v>509</v>
      </c>
      <c r="J45" s="13" t="s">
        <v>277</v>
      </c>
      <c r="K45" s="2"/>
      <c r="L45" s="8" t="s">
        <v>6</v>
      </c>
      <c r="M45" s="2" t="s">
        <v>115</v>
      </c>
      <c r="N45" s="2"/>
      <c r="O45" s="2"/>
      <c r="P45" s="2"/>
      <c r="Q45" s="2"/>
    </row>
    <row r="46" spans="1:17" ht="60.75" customHeight="1" x14ac:dyDescent="0.25">
      <c r="A46" s="2" t="str">
        <f t="shared" si="0"/>
        <v>TC-FB-043</v>
      </c>
      <c r="B46" s="2" t="s">
        <v>126</v>
      </c>
      <c r="C46" s="2" t="s">
        <v>674</v>
      </c>
      <c r="D46" s="2" t="s">
        <v>677</v>
      </c>
      <c r="E46" s="2" t="s">
        <v>190</v>
      </c>
      <c r="F46" s="13" t="s">
        <v>278</v>
      </c>
      <c r="G46" s="2" t="s">
        <v>673</v>
      </c>
      <c r="H46" s="2" t="s">
        <v>279</v>
      </c>
      <c r="I46" s="13" t="s">
        <v>510</v>
      </c>
      <c r="J46" s="13" t="s">
        <v>280</v>
      </c>
      <c r="K46" s="2"/>
      <c r="L46" s="8" t="s">
        <v>6</v>
      </c>
      <c r="M46" s="2" t="s">
        <v>195</v>
      </c>
      <c r="N46" s="2"/>
      <c r="O46" s="2"/>
      <c r="P46" s="2"/>
      <c r="Q46" s="2"/>
    </row>
    <row r="47" spans="1:17" ht="60.75" customHeight="1" x14ac:dyDescent="0.25">
      <c r="A47" s="2" t="str">
        <f t="shared" si="0"/>
        <v>TC-FB-044</v>
      </c>
      <c r="B47" s="2" t="s">
        <v>126</v>
      </c>
      <c r="C47" s="2" t="s">
        <v>674</v>
      </c>
      <c r="D47" s="2" t="s">
        <v>677</v>
      </c>
      <c r="E47" s="2" t="s">
        <v>190</v>
      </c>
      <c r="F47" s="13" t="s">
        <v>534</v>
      </c>
      <c r="G47" s="2" t="s">
        <v>673</v>
      </c>
      <c r="H47" s="2" t="s">
        <v>279</v>
      </c>
      <c r="I47" s="13" t="s">
        <v>535</v>
      </c>
      <c r="J47" s="13" t="s">
        <v>280</v>
      </c>
      <c r="K47" s="2"/>
      <c r="L47" s="8" t="s">
        <v>6</v>
      </c>
      <c r="M47" s="2" t="s">
        <v>195</v>
      </c>
      <c r="N47" s="2"/>
      <c r="O47" s="2"/>
      <c r="P47" s="2"/>
      <c r="Q47" s="2"/>
    </row>
    <row r="48" spans="1:17" ht="60.75" customHeight="1" x14ac:dyDescent="0.25">
      <c r="A48" s="2" t="str">
        <f t="shared" si="0"/>
        <v>TC-FB-045</v>
      </c>
      <c r="B48" s="2" t="s">
        <v>126</v>
      </c>
      <c r="C48" s="2" t="s">
        <v>674</v>
      </c>
      <c r="D48" s="2" t="s">
        <v>677</v>
      </c>
      <c r="E48" s="2" t="s">
        <v>190</v>
      </c>
      <c r="F48" s="13" t="s">
        <v>281</v>
      </c>
      <c r="G48" s="2" t="s">
        <v>673</v>
      </c>
      <c r="H48" s="2" t="s">
        <v>192</v>
      </c>
      <c r="I48" s="13" t="s">
        <v>511</v>
      </c>
      <c r="J48" s="13" t="s">
        <v>282</v>
      </c>
      <c r="K48" s="2"/>
      <c r="L48" s="8" t="s">
        <v>6</v>
      </c>
      <c r="M48" s="2" t="s">
        <v>195</v>
      </c>
      <c r="N48" s="2"/>
      <c r="O48" s="2"/>
      <c r="P48" s="2"/>
      <c r="Q48" s="2"/>
    </row>
    <row r="49" spans="1:17" ht="60.75" customHeight="1" x14ac:dyDescent="0.25">
      <c r="A49" s="2" t="str">
        <f t="shared" si="0"/>
        <v>TC-FB-046</v>
      </c>
      <c r="B49" s="2" t="s">
        <v>128</v>
      </c>
      <c r="C49" s="2" t="s">
        <v>674</v>
      </c>
      <c r="D49" s="2" t="s">
        <v>677</v>
      </c>
      <c r="E49" s="2" t="s">
        <v>271</v>
      </c>
      <c r="F49" s="13" t="s">
        <v>283</v>
      </c>
      <c r="G49" s="2" t="s">
        <v>673</v>
      </c>
      <c r="H49" s="2" t="s">
        <v>284</v>
      </c>
      <c r="I49" s="13" t="s">
        <v>678</v>
      </c>
      <c r="J49" s="13" t="s">
        <v>679</v>
      </c>
      <c r="K49" s="2"/>
      <c r="L49" s="8" t="s">
        <v>6</v>
      </c>
      <c r="M49" s="2" t="s">
        <v>119</v>
      </c>
      <c r="N49" s="2"/>
      <c r="O49" s="2"/>
      <c r="P49" s="2"/>
      <c r="Q49" s="2"/>
    </row>
    <row r="50" spans="1:17" ht="60.75" customHeight="1" x14ac:dyDescent="0.25">
      <c r="A50" s="2" t="str">
        <f t="shared" si="0"/>
        <v>TC-FB-047</v>
      </c>
      <c r="B50" s="2" t="s">
        <v>131</v>
      </c>
      <c r="C50" s="2" t="s">
        <v>674</v>
      </c>
      <c r="D50" s="2" t="s">
        <v>351</v>
      </c>
      <c r="E50" s="2" t="s">
        <v>271</v>
      </c>
      <c r="F50" s="13" t="s">
        <v>292</v>
      </c>
      <c r="G50" s="2" t="s">
        <v>673</v>
      </c>
      <c r="H50" s="2" t="s">
        <v>290</v>
      </c>
      <c r="I50" s="13" t="s">
        <v>514</v>
      </c>
      <c r="J50" s="13" t="s">
        <v>597</v>
      </c>
      <c r="K50" s="2"/>
      <c r="L50" s="8" t="s">
        <v>6</v>
      </c>
      <c r="M50" s="2" t="s">
        <v>115</v>
      </c>
      <c r="N50" s="2"/>
      <c r="O50" s="2"/>
      <c r="P50" s="2"/>
      <c r="Q50" s="2"/>
    </row>
    <row r="51" spans="1:17" ht="60.75" customHeight="1" x14ac:dyDescent="0.25">
      <c r="A51" s="2" t="str">
        <f t="shared" si="0"/>
        <v>TC-FB-048</v>
      </c>
      <c r="B51" s="2" t="s">
        <v>131</v>
      </c>
      <c r="C51" s="2" t="s">
        <v>674</v>
      </c>
      <c r="D51" s="2" t="s">
        <v>351</v>
      </c>
      <c r="E51" s="2" t="s">
        <v>190</v>
      </c>
      <c r="F51" s="13" t="s">
        <v>295</v>
      </c>
      <c r="G51" s="2" t="s">
        <v>682</v>
      </c>
      <c r="H51" s="2" t="s">
        <v>192</v>
      </c>
      <c r="I51" s="13" t="s">
        <v>296</v>
      </c>
      <c r="J51" s="13" t="s">
        <v>599</v>
      </c>
      <c r="K51" s="2"/>
      <c r="L51" s="8" t="s">
        <v>6</v>
      </c>
      <c r="M51" s="2" t="s">
        <v>115</v>
      </c>
      <c r="N51" s="2"/>
      <c r="O51" s="2"/>
      <c r="P51" s="2"/>
      <c r="Q51" s="2"/>
    </row>
    <row r="52" spans="1:17" ht="60.75" customHeight="1" x14ac:dyDescent="0.25">
      <c r="A52" s="2" t="str">
        <f t="shared" ref="A52:A134" si="1">"TC-FB-"&amp;TEXT(ROW()-3,"000")</f>
        <v>TC-FB-049</v>
      </c>
      <c r="B52" s="2" t="s">
        <v>131</v>
      </c>
      <c r="C52" s="2" t="s">
        <v>674</v>
      </c>
      <c r="D52" s="2" t="s">
        <v>542</v>
      </c>
      <c r="E52" s="2" t="s">
        <v>206</v>
      </c>
      <c r="F52" s="13" t="s">
        <v>334</v>
      </c>
      <c r="G52" s="2" t="s">
        <v>681</v>
      </c>
      <c r="H52" s="2" t="s">
        <v>543</v>
      </c>
      <c r="I52" s="13" t="s">
        <v>545</v>
      </c>
      <c r="J52" s="13" t="s">
        <v>546</v>
      </c>
      <c r="K52" s="2"/>
      <c r="L52" s="8" t="s">
        <v>6</v>
      </c>
      <c r="M52" s="2" t="s">
        <v>119</v>
      </c>
      <c r="N52" s="2"/>
      <c r="O52" s="2"/>
      <c r="P52" s="2"/>
      <c r="Q52" s="2"/>
    </row>
    <row r="53" spans="1:17" ht="60.75" customHeight="1" x14ac:dyDescent="0.25">
      <c r="A53" s="2" t="str">
        <f t="shared" si="1"/>
        <v>TC-FB-050</v>
      </c>
      <c r="B53" s="2" t="s">
        <v>131</v>
      </c>
      <c r="C53" s="2" t="s">
        <v>674</v>
      </c>
      <c r="D53" s="2" t="s">
        <v>544</v>
      </c>
      <c r="E53" s="2" t="s">
        <v>214</v>
      </c>
      <c r="F53" s="13" t="s">
        <v>335</v>
      </c>
      <c r="G53" s="2" t="s">
        <v>680</v>
      </c>
      <c r="H53" s="2" t="s">
        <v>336</v>
      </c>
      <c r="I53" s="13" t="s">
        <v>337</v>
      </c>
      <c r="J53" s="13" t="s">
        <v>338</v>
      </c>
      <c r="K53" s="2"/>
      <c r="L53" s="8" t="s">
        <v>6</v>
      </c>
      <c r="M53" s="2" t="s">
        <v>119</v>
      </c>
      <c r="N53" s="2"/>
      <c r="O53" s="2"/>
      <c r="P53" s="2"/>
      <c r="Q53" s="2"/>
    </row>
    <row r="54" spans="1:17" ht="60.75" customHeight="1" x14ac:dyDescent="0.25">
      <c r="A54" s="2" t="str">
        <f t="shared" si="1"/>
        <v>TC-FB-051</v>
      </c>
      <c r="B54" s="2" t="s">
        <v>131</v>
      </c>
      <c r="C54" s="2" t="s">
        <v>674</v>
      </c>
      <c r="D54" s="2" t="s">
        <v>542</v>
      </c>
      <c r="E54" s="2" t="s">
        <v>190</v>
      </c>
      <c r="F54" s="13" t="s">
        <v>339</v>
      </c>
      <c r="G54" s="2" t="s">
        <v>683</v>
      </c>
      <c r="H54" s="2" t="s">
        <v>340</v>
      </c>
      <c r="I54" s="13" t="s">
        <v>341</v>
      </c>
      <c r="J54" s="13" t="s">
        <v>342</v>
      </c>
      <c r="K54" s="2"/>
      <c r="L54" s="8" t="s">
        <v>6</v>
      </c>
      <c r="M54" s="2" t="s">
        <v>115</v>
      </c>
      <c r="N54" s="2"/>
      <c r="O54" s="2"/>
      <c r="P54" s="2"/>
      <c r="Q54" s="2"/>
    </row>
    <row r="55" spans="1:17" ht="60.75" customHeight="1" x14ac:dyDescent="0.25">
      <c r="A55" s="2" t="str">
        <f t="shared" si="1"/>
        <v>TC-FB-052</v>
      </c>
      <c r="B55" s="2" t="s">
        <v>131</v>
      </c>
      <c r="C55" s="2" t="s">
        <v>674</v>
      </c>
      <c r="D55" s="2" t="s">
        <v>542</v>
      </c>
      <c r="E55" s="2" t="s">
        <v>271</v>
      </c>
      <c r="F55" s="13" t="s">
        <v>343</v>
      </c>
      <c r="G55" s="2" t="s">
        <v>684</v>
      </c>
      <c r="H55" s="2" t="s">
        <v>344</v>
      </c>
      <c r="I55" s="13" t="s">
        <v>345</v>
      </c>
      <c r="J55" s="13" t="s">
        <v>346</v>
      </c>
      <c r="K55" s="2"/>
      <c r="L55" s="8" t="s">
        <v>6</v>
      </c>
      <c r="M55" s="2" t="s">
        <v>115</v>
      </c>
      <c r="N55" s="2"/>
      <c r="O55" s="2"/>
      <c r="P55" s="2"/>
      <c r="Q55" s="2"/>
    </row>
    <row r="56" spans="1:17" ht="60.75" customHeight="1" x14ac:dyDescent="0.25">
      <c r="A56" s="2" t="str">
        <f t="shared" si="1"/>
        <v>TC-FB-053</v>
      </c>
      <c r="B56" s="2" t="s">
        <v>131</v>
      </c>
      <c r="C56" s="2" t="s">
        <v>674</v>
      </c>
      <c r="D56" s="2" t="s">
        <v>547</v>
      </c>
      <c r="E56" s="2" t="s">
        <v>190</v>
      </c>
      <c r="F56" s="13" t="s">
        <v>347</v>
      </c>
      <c r="G56" s="2" t="s">
        <v>685</v>
      </c>
      <c r="H56" s="2" t="s">
        <v>192</v>
      </c>
      <c r="I56" s="13" t="s">
        <v>348</v>
      </c>
      <c r="J56" s="13" t="s">
        <v>349</v>
      </c>
      <c r="K56" s="2"/>
      <c r="L56" s="8" t="s">
        <v>6</v>
      </c>
      <c r="M56" s="2" t="s">
        <v>115</v>
      </c>
      <c r="N56" s="2"/>
      <c r="O56" s="2"/>
      <c r="P56" s="2"/>
      <c r="Q56" s="2"/>
    </row>
    <row r="57" spans="1:17" ht="60.75" customHeight="1" x14ac:dyDescent="0.25">
      <c r="A57" s="2" t="str">
        <f t="shared" si="1"/>
        <v>TC-FB-054</v>
      </c>
      <c r="B57" s="2" t="s">
        <v>131</v>
      </c>
      <c r="C57" s="2" t="s">
        <v>674</v>
      </c>
      <c r="D57" s="2" t="s">
        <v>547</v>
      </c>
      <c r="E57" s="2" t="s">
        <v>206</v>
      </c>
      <c r="F57" s="13" t="s">
        <v>350</v>
      </c>
      <c r="G57" s="2" t="s">
        <v>685</v>
      </c>
      <c r="H57" s="2" t="s">
        <v>351</v>
      </c>
      <c r="I57" s="13" t="s">
        <v>352</v>
      </c>
      <c r="J57" s="13" t="s">
        <v>353</v>
      </c>
      <c r="K57" s="2"/>
      <c r="L57" s="8" t="s">
        <v>6</v>
      </c>
      <c r="M57" s="2" t="s">
        <v>119</v>
      </c>
      <c r="N57" s="2"/>
      <c r="O57" s="2"/>
      <c r="P57" s="2"/>
      <c r="Q57" s="2"/>
    </row>
    <row r="58" spans="1:17" ht="60.75" customHeight="1" x14ac:dyDescent="0.25">
      <c r="A58" s="2" t="str">
        <f t="shared" si="0"/>
        <v>TC-FB-055</v>
      </c>
      <c r="B58" s="2" t="s">
        <v>132</v>
      </c>
      <c r="C58" s="2" t="s">
        <v>674</v>
      </c>
      <c r="D58" s="2" t="s">
        <v>297</v>
      </c>
      <c r="E58" s="2" t="s">
        <v>206</v>
      </c>
      <c r="F58" s="13" t="s">
        <v>298</v>
      </c>
      <c r="G58" s="2" t="s">
        <v>686</v>
      </c>
      <c r="H58" s="2" t="s">
        <v>299</v>
      </c>
      <c r="I58" s="13" t="s">
        <v>300</v>
      </c>
      <c r="J58" s="13" t="s">
        <v>575</v>
      </c>
      <c r="K58" s="2"/>
      <c r="L58" s="8" t="s">
        <v>6</v>
      </c>
      <c r="M58" s="2" t="s">
        <v>119</v>
      </c>
      <c r="N58" s="2"/>
      <c r="O58" s="2"/>
      <c r="P58" s="2"/>
      <c r="Q58" s="2"/>
    </row>
    <row r="59" spans="1:17" ht="60.75" customHeight="1" x14ac:dyDescent="0.25">
      <c r="A59" s="2" t="str">
        <f t="shared" si="0"/>
        <v>TC-FB-056</v>
      </c>
      <c r="B59" s="2" t="s">
        <v>132</v>
      </c>
      <c r="C59" s="2" t="s">
        <v>674</v>
      </c>
      <c r="D59" s="2" t="s">
        <v>297</v>
      </c>
      <c r="E59" s="2" t="s">
        <v>206</v>
      </c>
      <c r="F59" s="13" t="s">
        <v>301</v>
      </c>
      <c r="G59" s="2" t="s">
        <v>686</v>
      </c>
      <c r="H59" s="2" t="s">
        <v>302</v>
      </c>
      <c r="I59" s="13" t="s">
        <v>303</v>
      </c>
      <c r="J59" s="13" t="s">
        <v>575</v>
      </c>
      <c r="K59" s="2"/>
      <c r="L59" s="8" t="s">
        <v>6</v>
      </c>
      <c r="M59" s="2" t="s">
        <v>119</v>
      </c>
      <c r="N59" s="2"/>
      <c r="O59" s="2"/>
      <c r="P59" s="2"/>
      <c r="Q59" s="2"/>
    </row>
    <row r="60" spans="1:17" ht="60.75" customHeight="1" x14ac:dyDescent="0.25">
      <c r="A60" s="2" t="str">
        <f t="shared" si="1"/>
        <v>TC-FB-057</v>
      </c>
      <c r="B60" s="2" t="s">
        <v>132</v>
      </c>
      <c r="C60" s="2" t="s">
        <v>674</v>
      </c>
      <c r="D60" s="2" t="s">
        <v>297</v>
      </c>
      <c r="E60" s="2" t="s">
        <v>206</v>
      </c>
      <c r="F60" s="13" t="s">
        <v>308</v>
      </c>
      <c r="G60" s="2" t="s">
        <v>686</v>
      </c>
      <c r="H60" s="2" t="s">
        <v>309</v>
      </c>
      <c r="I60" s="13" t="s">
        <v>310</v>
      </c>
      <c r="J60" s="13" t="s">
        <v>311</v>
      </c>
      <c r="K60" s="2"/>
      <c r="L60" s="8" t="s">
        <v>6</v>
      </c>
      <c r="M60" s="2" t="s">
        <v>195</v>
      </c>
      <c r="N60" s="2"/>
      <c r="O60" s="2"/>
      <c r="P60" s="2"/>
      <c r="Q60" s="2" t="s">
        <v>721</v>
      </c>
    </row>
    <row r="61" spans="1:17" ht="60.75" customHeight="1" x14ac:dyDescent="0.25">
      <c r="A61" s="2" t="str">
        <f t="shared" si="1"/>
        <v>TC-FB-058</v>
      </c>
      <c r="B61" s="2" t="s">
        <v>132</v>
      </c>
      <c r="C61" s="2" t="s">
        <v>674</v>
      </c>
      <c r="D61" s="2" t="s">
        <v>297</v>
      </c>
      <c r="E61" s="2" t="s">
        <v>240</v>
      </c>
      <c r="F61" s="13" t="s">
        <v>312</v>
      </c>
      <c r="G61" s="2" t="s">
        <v>686</v>
      </c>
      <c r="H61" s="2" t="s">
        <v>313</v>
      </c>
      <c r="I61" s="13" t="s">
        <v>314</v>
      </c>
      <c r="J61" s="13" t="s">
        <v>268</v>
      </c>
      <c r="K61" s="2"/>
      <c r="L61" s="8" t="s">
        <v>6</v>
      </c>
      <c r="M61" s="2" t="s">
        <v>195</v>
      </c>
      <c r="N61" s="2"/>
      <c r="O61" s="2"/>
      <c r="P61" s="2"/>
      <c r="Q61" s="2"/>
    </row>
    <row r="62" spans="1:17" ht="60.75" customHeight="1" x14ac:dyDescent="0.25">
      <c r="A62" s="2" t="str">
        <f t="shared" si="1"/>
        <v>TC-FB-059</v>
      </c>
      <c r="B62" s="2" t="s">
        <v>132</v>
      </c>
      <c r="C62" s="2" t="s">
        <v>674</v>
      </c>
      <c r="D62" s="2" t="s">
        <v>297</v>
      </c>
      <c r="E62" s="2" t="s">
        <v>190</v>
      </c>
      <c r="F62" s="13" t="s">
        <v>315</v>
      </c>
      <c r="G62" s="2" t="s">
        <v>686</v>
      </c>
      <c r="H62" s="2" t="s">
        <v>316</v>
      </c>
      <c r="I62" s="13" t="s">
        <v>317</v>
      </c>
      <c r="J62" s="13" t="s">
        <v>318</v>
      </c>
      <c r="K62" s="2"/>
      <c r="L62" s="8" t="s">
        <v>6</v>
      </c>
      <c r="M62" s="2" t="s">
        <v>115</v>
      </c>
      <c r="N62" s="2"/>
      <c r="O62" s="2"/>
      <c r="P62" s="2"/>
      <c r="Q62" s="2"/>
    </row>
    <row r="63" spans="1:17" ht="60.75" customHeight="1" x14ac:dyDescent="0.25">
      <c r="A63" s="2" t="str">
        <f t="shared" si="1"/>
        <v>TC-FB-060</v>
      </c>
      <c r="B63" s="2" t="s">
        <v>132</v>
      </c>
      <c r="C63" s="2" t="s">
        <v>674</v>
      </c>
      <c r="D63" s="2" t="s">
        <v>297</v>
      </c>
      <c r="E63" s="2" t="s">
        <v>285</v>
      </c>
      <c r="F63" s="13" t="s">
        <v>319</v>
      </c>
      <c r="G63" s="2" t="s">
        <v>686</v>
      </c>
      <c r="H63" s="2" t="s">
        <v>320</v>
      </c>
      <c r="I63" s="13" t="s">
        <v>321</v>
      </c>
      <c r="J63" s="13" t="s">
        <v>322</v>
      </c>
      <c r="K63" s="2"/>
      <c r="L63" s="8" t="s">
        <v>6</v>
      </c>
      <c r="M63" s="2" t="s">
        <v>119</v>
      </c>
      <c r="N63" s="2"/>
      <c r="O63" s="2"/>
      <c r="P63" s="2"/>
      <c r="Q63" s="2"/>
    </row>
    <row r="64" spans="1:17" ht="60.75" customHeight="1" x14ac:dyDescent="0.25">
      <c r="A64" s="2" t="str">
        <f t="shared" si="1"/>
        <v>TC-FB-061</v>
      </c>
      <c r="B64" s="2" t="s">
        <v>132</v>
      </c>
      <c r="C64" s="2" t="s">
        <v>674</v>
      </c>
      <c r="D64" s="2" t="s">
        <v>297</v>
      </c>
      <c r="E64" s="2" t="s">
        <v>285</v>
      </c>
      <c r="F64" s="13" t="s">
        <v>304</v>
      </c>
      <c r="G64" s="2" t="s">
        <v>687</v>
      </c>
      <c r="H64" s="2" t="s">
        <v>305</v>
      </c>
      <c r="I64" s="13" t="s">
        <v>306</v>
      </c>
      <c r="J64" s="13" t="s">
        <v>307</v>
      </c>
      <c r="K64" s="2"/>
      <c r="L64" s="8" t="s">
        <v>6</v>
      </c>
      <c r="M64" s="2" t="s">
        <v>119</v>
      </c>
      <c r="N64" s="2"/>
      <c r="O64" s="2"/>
      <c r="P64" s="2"/>
      <c r="Q64" s="2"/>
    </row>
    <row r="65" spans="1:17" ht="60.75" customHeight="1" x14ac:dyDescent="0.25">
      <c r="A65" s="2" t="str">
        <f t="shared" si="1"/>
        <v>TC-FB-062</v>
      </c>
      <c r="B65" s="2" t="s">
        <v>132</v>
      </c>
      <c r="C65" s="2" t="s">
        <v>674</v>
      </c>
      <c r="D65" s="2" t="s">
        <v>778</v>
      </c>
      <c r="E65" s="2" t="s">
        <v>206</v>
      </c>
      <c r="F65" s="13" t="s">
        <v>844</v>
      </c>
      <c r="G65" s="2" t="s">
        <v>688</v>
      </c>
      <c r="H65" s="2" t="s">
        <v>323</v>
      </c>
      <c r="I65" s="13" t="s">
        <v>538</v>
      </c>
      <c r="J65" s="13" t="s">
        <v>577</v>
      </c>
      <c r="K65" s="2"/>
      <c r="L65" s="8" t="s">
        <v>6</v>
      </c>
      <c r="M65" s="2" t="s">
        <v>119</v>
      </c>
      <c r="N65" s="2"/>
      <c r="O65" s="2"/>
      <c r="P65" s="2"/>
      <c r="Q65" s="2"/>
    </row>
    <row r="66" spans="1:17" ht="60.75" customHeight="1" x14ac:dyDescent="0.25">
      <c r="A66" s="2" t="str">
        <f t="shared" si="1"/>
        <v>TC-FB-063</v>
      </c>
      <c r="B66" s="2" t="s">
        <v>132</v>
      </c>
      <c r="C66" s="2" t="s">
        <v>674</v>
      </c>
      <c r="D66" s="2" t="s">
        <v>778</v>
      </c>
      <c r="E66" s="2" t="s">
        <v>285</v>
      </c>
      <c r="F66" s="13" t="s">
        <v>324</v>
      </c>
      <c r="G66" s="2" t="s">
        <v>689</v>
      </c>
      <c r="H66" s="2" t="s">
        <v>325</v>
      </c>
      <c r="I66" s="13" t="s">
        <v>539</v>
      </c>
      <c r="J66" s="13" t="s">
        <v>536</v>
      </c>
      <c r="K66" s="2"/>
      <c r="L66" s="8" t="s">
        <v>6</v>
      </c>
      <c r="M66" s="2" t="s">
        <v>119</v>
      </c>
      <c r="N66" s="2"/>
      <c r="O66" s="2"/>
      <c r="P66" s="2"/>
      <c r="Q66" s="2"/>
    </row>
    <row r="67" spans="1:17" ht="60.75" customHeight="1" x14ac:dyDescent="0.25">
      <c r="A67" s="2" t="str">
        <f t="shared" si="1"/>
        <v>TC-FB-064</v>
      </c>
      <c r="B67" s="2" t="s">
        <v>132</v>
      </c>
      <c r="C67" s="2" t="s">
        <v>674</v>
      </c>
      <c r="D67" s="2" t="s">
        <v>778</v>
      </c>
      <c r="E67" s="2" t="s">
        <v>240</v>
      </c>
      <c r="F67" s="13" t="s">
        <v>326</v>
      </c>
      <c r="G67" s="2" t="s">
        <v>690</v>
      </c>
      <c r="H67" s="2" t="s">
        <v>327</v>
      </c>
      <c r="I67" s="13" t="s">
        <v>540</v>
      </c>
      <c r="J67" s="13" t="s">
        <v>576</v>
      </c>
      <c r="K67" s="2"/>
      <c r="L67" s="8" t="s">
        <v>6</v>
      </c>
      <c r="M67" s="2" t="s">
        <v>115</v>
      </c>
      <c r="N67" s="2"/>
      <c r="O67" s="2"/>
      <c r="P67" s="2"/>
      <c r="Q67" s="2"/>
    </row>
    <row r="68" spans="1:17" ht="60.75" customHeight="1" x14ac:dyDescent="0.25">
      <c r="A68" s="2" t="str">
        <f t="shared" si="1"/>
        <v>TC-FB-065</v>
      </c>
      <c r="B68" s="2" t="s">
        <v>132</v>
      </c>
      <c r="C68" s="2" t="s">
        <v>674</v>
      </c>
      <c r="D68" s="2" t="s">
        <v>778</v>
      </c>
      <c r="E68" s="2" t="s">
        <v>190</v>
      </c>
      <c r="F68" s="13" t="s">
        <v>328</v>
      </c>
      <c r="G68" s="2" t="s">
        <v>686</v>
      </c>
      <c r="H68" s="2" t="s">
        <v>329</v>
      </c>
      <c r="I68" s="13" t="s">
        <v>330</v>
      </c>
      <c r="J68" s="13" t="s">
        <v>537</v>
      </c>
      <c r="K68" s="2"/>
      <c r="L68" s="8" t="s">
        <v>6</v>
      </c>
      <c r="M68" s="2" t="s">
        <v>195</v>
      </c>
      <c r="N68" s="2"/>
      <c r="O68" s="2"/>
      <c r="P68" s="2"/>
      <c r="Q68" s="2"/>
    </row>
    <row r="69" spans="1:17" ht="60.75" customHeight="1" x14ac:dyDescent="0.25">
      <c r="A69" s="2" t="str">
        <f t="shared" si="1"/>
        <v>TC-FB-066</v>
      </c>
      <c r="B69" s="2" t="s">
        <v>132</v>
      </c>
      <c r="C69" s="2" t="s">
        <v>674</v>
      </c>
      <c r="D69" s="2" t="s">
        <v>297</v>
      </c>
      <c r="E69" s="2" t="s">
        <v>271</v>
      </c>
      <c r="F69" s="13" t="s">
        <v>331</v>
      </c>
      <c r="G69" s="2" t="s">
        <v>686</v>
      </c>
      <c r="H69" s="2" t="s">
        <v>332</v>
      </c>
      <c r="I69" s="13" t="s">
        <v>333</v>
      </c>
      <c r="J69" s="13" t="s">
        <v>541</v>
      </c>
      <c r="K69" s="2"/>
      <c r="L69" s="8" t="s">
        <v>6</v>
      </c>
      <c r="M69" s="2" t="s">
        <v>115</v>
      </c>
      <c r="N69" s="2"/>
      <c r="O69" s="2"/>
      <c r="P69" s="2"/>
      <c r="Q69" s="2"/>
    </row>
    <row r="70" spans="1:17" ht="60.75" customHeight="1" x14ac:dyDescent="0.25">
      <c r="A70" s="2" t="str">
        <f t="shared" si="1"/>
        <v>TC-FB-067</v>
      </c>
      <c r="B70" s="2" t="s">
        <v>133</v>
      </c>
      <c r="C70" s="2" t="s">
        <v>674</v>
      </c>
      <c r="D70" s="2" t="s">
        <v>610</v>
      </c>
      <c r="E70" s="2" t="s">
        <v>190</v>
      </c>
      <c r="F70" s="13" t="s">
        <v>359</v>
      </c>
      <c r="G70" s="2" t="s">
        <v>779</v>
      </c>
      <c r="H70" s="2" t="s">
        <v>192</v>
      </c>
      <c r="I70" s="13" t="s">
        <v>360</v>
      </c>
      <c r="J70" s="13" t="s">
        <v>601</v>
      </c>
      <c r="K70" s="2"/>
      <c r="L70" s="8" t="s">
        <v>6</v>
      </c>
      <c r="M70" s="2" t="s">
        <v>115</v>
      </c>
      <c r="N70" s="2"/>
      <c r="O70" s="2"/>
      <c r="P70" s="2"/>
      <c r="Q70" s="2"/>
    </row>
    <row r="71" spans="1:17" ht="60.75" customHeight="1" x14ac:dyDescent="0.25">
      <c r="A71" s="2" t="str">
        <f t="shared" si="1"/>
        <v>TC-FB-068</v>
      </c>
      <c r="B71" s="2" t="s">
        <v>133</v>
      </c>
      <c r="C71" s="2" t="s">
        <v>674</v>
      </c>
      <c r="D71" s="2" t="s">
        <v>354</v>
      </c>
      <c r="E71" s="2" t="s">
        <v>190</v>
      </c>
      <c r="F71" s="13" t="s">
        <v>355</v>
      </c>
      <c r="G71" s="2" t="s">
        <v>691</v>
      </c>
      <c r="H71" s="2" t="s">
        <v>356</v>
      </c>
      <c r="I71" s="13" t="s">
        <v>357</v>
      </c>
      <c r="J71" s="13" t="s">
        <v>358</v>
      </c>
      <c r="K71" s="2"/>
      <c r="L71" s="8" t="s">
        <v>6</v>
      </c>
      <c r="M71" s="2" t="s">
        <v>115</v>
      </c>
      <c r="N71" s="2"/>
      <c r="O71" s="2"/>
      <c r="P71" s="2"/>
      <c r="Q71" s="2"/>
    </row>
    <row r="72" spans="1:17" ht="60.75" customHeight="1" x14ac:dyDescent="0.25">
      <c r="A72" s="2" t="str">
        <f t="shared" si="1"/>
        <v>TC-FB-069</v>
      </c>
      <c r="B72" s="2" t="s">
        <v>133</v>
      </c>
      <c r="C72" s="2" t="s">
        <v>674</v>
      </c>
      <c r="D72" s="2" t="s">
        <v>354</v>
      </c>
      <c r="E72" s="2" t="s">
        <v>190</v>
      </c>
      <c r="F72" s="13" t="s">
        <v>361</v>
      </c>
      <c r="G72" s="2" t="s">
        <v>691</v>
      </c>
      <c r="H72" s="2" t="s">
        <v>192</v>
      </c>
      <c r="I72" s="13" t="s">
        <v>362</v>
      </c>
      <c r="J72" s="13" t="s">
        <v>548</v>
      </c>
      <c r="K72" s="2"/>
      <c r="L72" s="8" t="s">
        <v>6</v>
      </c>
      <c r="M72" s="2" t="s">
        <v>119</v>
      </c>
      <c r="N72" s="2"/>
      <c r="O72" s="2"/>
      <c r="P72" s="2"/>
      <c r="Q72" s="2"/>
    </row>
    <row r="73" spans="1:17" ht="60.75" customHeight="1" x14ac:dyDescent="0.25">
      <c r="A73" s="2" t="str">
        <f t="shared" si="1"/>
        <v>TC-FB-070</v>
      </c>
      <c r="B73" s="2" t="s">
        <v>133</v>
      </c>
      <c r="C73" s="2" t="s">
        <v>674</v>
      </c>
      <c r="D73" s="2" t="s">
        <v>354</v>
      </c>
      <c r="E73" s="2" t="s">
        <v>206</v>
      </c>
      <c r="F73" s="13" t="s">
        <v>363</v>
      </c>
      <c r="G73" s="2" t="s">
        <v>691</v>
      </c>
      <c r="H73" s="2" t="s">
        <v>549</v>
      </c>
      <c r="I73" s="13" t="s">
        <v>550</v>
      </c>
      <c r="J73" s="13" t="s">
        <v>364</v>
      </c>
      <c r="K73" s="2"/>
      <c r="L73" s="8" t="s">
        <v>6</v>
      </c>
      <c r="M73" s="2" t="s">
        <v>119</v>
      </c>
      <c r="N73" s="2"/>
      <c r="O73" s="2"/>
      <c r="P73" s="2"/>
      <c r="Q73" s="2"/>
    </row>
    <row r="74" spans="1:17" ht="60.75" customHeight="1" x14ac:dyDescent="0.25">
      <c r="A74" s="2" t="str">
        <f t="shared" si="1"/>
        <v>TC-FB-071</v>
      </c>
      <c r="B74" s="2" t="s">
        <v>133</v>
      </c>
      <c r="C74" s="2" t="s">
        <v>674</v>
      </c>
      <c r="D74" s="2" t="s">
        <v>354</v>
      </c>
      <c r="E74" s="2" t="s">
        <v>190</v>
      </c>
      <c r="F74" s="13" t="s">
        <v>368</v>
      </c>
      <c r="G74" s="2" t="s">
        <v>691</v>
      </c>
      <c r="H74" s="2" t="s">
        <v>369</v>
      </c>
      <c r="I74" s="13" t="s">
        <v>370</v>
      </c>
      <c r="J74" s="13" t="s">
        <v>371</v>
      </c>
      <c r="K74" s="2"/>
      <c r="L74" s="8" t="s">
        <v>6</v>
      </c>
      <c r="M74" s="2" t="s">
        <v>195</v>
      </c>
      <c r="N74" s="2"/>
      <c r="O74" s="2"/>
      <c r="P74" s="2"/>
      <c r="Q74" s="2"/>
    </row>
    <row r="75" spans="1:17" ht="60.75" customHeight="1" x14ac:dyDescent="0.25">
      <c r="A75" s="2" t="str">
        <f t="shared" si="1"/>
        <v>TC-FB-072</v>
      </c>
      <c r="B75" s="2" t="s">
        <v>133</v>
      </c>
      <c r="C75" s="2" t="s">
        <v>674</v>
      </c>
      <c r="D75" s="2" t="s">
        <v>354</v>
      </c>
      <c r="E75" s="2" t="s">
        <v>271</v>
      </c>
      <c r="F75" s="13" t="s">
        <v>365</v>
      </c>
      <c r="G75" s="2" t="s">
        <v>692</v>
      </c>
      <c r="H75" s="2" t="s">
        <v>366</v>
      </c>
      <c r="I75" s="13" t="s">
        <v>367</v>
      </c>
      <c r="J75" s="13" t="s">
        <v>578</v>
      </c>
      <c r="K75" s="2"/>
      <c r="L75" s="8" t="s">
        <v>6</v>
      </c>
      <c r="M75" s="2" t="s">
        <v>115</v>
      </c>
      <c r="N75" s="2"/>
      <c r="O75" s="2"/>
      <c r="P75" s="2"/>
      <c r="Q75" s="2"/>
    </row>
    <row r="76" spans="1:17" ht="60.75" customHeight="1" x14ac:dyDescent="0.25">
      <c r="A76" s="2" t="str">
        <f t="shared" si="1"/>
        <v>TC-FB-073</v>
      </c>
      <c r="B76" s="2" t="s">
        <v>134</v>
      </c>
      <c r="C76" s="2" t="s">
        <v>674</v>
      </c>
      <c r="D76" s="2" t="s">
        <v>551</v>
      </c>
      <c r="E76" s="2" t="s">
        <v>206</v>
      </c>
      <c r="F76" s="13" t="s">
        <v>373</v>
      </c>
      <c r="G76" s="2" t="s">
        <v>780</v>
      </c>
      <c r="H76" s="2" t="s">
        <v>374</v>
      </c>
      <c r="I76" s="13" t="s">
        <v>375</v>
      </c>
      <c r="J76" s="13" t="s">
        <v>573</v>
      </c>
      <c r="K76" s="2"/>
      <c r="L76" s="8" t="s">
        <v>6</v>
      </c>
      <c r="M76" s="2" t="s">
        <v>119</v>
      </c>
      <c r="N76" s="2"/>
      <c r="O76" s="2"/>
      <c r="P76" s="2"/>
      <c r="Q76" s="2"/>
    </row>
    <row r="77" spans="1:17" ht="60.75" customHeight="1" x14ac:dyDescent="0.25">
      <c r="A77" s="2" t="str">
        <f t="shared" si="1"/>
        <v>TC-FB-074</v>
      </c>
      <c r="B77" s="2" t="s">
        <v>134</v>
      </c>
      <c r="C77" s="2" t="s">
        <v>674</v>
      </c>
      <c r="D77" s="2" t="s">
        <v>551</v>
      </c>
      <c r="E77" s="2" t="s">
        <v>206</v>
      </c>
      <c r="F77" s="13" t="s">
        <v>376</v>
      </c>
      <c r="G77" s="2" t="s">
        <v>780</v>
      </c>
      <c r="H77" s="2" t="s">
        <v>377</v>
      </c>
      <c r="I77" s="13" t="s">
        <v>378</v>
      </c>
      <c r="J77" s="13" t="s">
        <v>573</v>
      </c>
      <c r="K77" s="2"/>
      <c r="L77" s="8" t="s">
        <v>6</v>
      </c>
      <c r="M77" s="2" t="s">
        <v>119</v>
      </c>
      <c r="N77" s="2"/>
      <c r="O77" s="2"/>
      <c r="P77" s="2"/>
      <c r="Q77" s="2"/>
    </row>
    <row r="78" spans="1:17" ht="60.75" customHeight="1" x14ac:dyDescent="0.25">
      <c r="A78" s="2" t="str">
        <f t="shared" si="1"/>
        <v>TC-FB-075</v>
      </c>
      <c r="B78" s="2" t="s">
        <v>134</v>
      </c>
      <c r="C78" s="2" t="s">
        <v>674</v>
      </c>
      <c r="D78" s="2" t="s">
        <v>551</v>
      </c>
      <c r="E78" s="2" t="s">
        <v>190</v>
      </c>
      <c r="F78" s="13" t="s">
        <v>379</v>
      </c>
      <c r="G78" s="2" t="s">
        <v>693</v>
      </c>
      <c r="H78" s="2" t="s">
        <v>192</v>
      </c>
      <c r="I78" s="13" t="s">
        <v>380</v>
      </c>
      <c r="J78" s="13" t="s">
        <v>381</v>
      </c>
      <c r="K78" s="2"/>
      <c r="L78" s="8" t="s">
        <v>6</v>
      </c>
      <c r="M78" s="2" t="s">
        <v>115</v>
      </c>
      <c r="N78" s="2"/>
      <c r="O78" s="2"/>
      <c r="P78" s="2"/>
      <c r="Q78" s="2"/>
    </row>
    <row r="79" spans="1:17" ht="60.75" customHeight="1" x14ac:dyDescent="0.25">
      <c r="A79" s="2" t="str">
        <f t="shared" si="1"/>
        <v>TC-FB-076</v>
      </c>
      <c r="B79" s="2" t="s">
        <v>134</v>
      </c>
      <c r="C79" s="2" t="s">
        <v>674</v>
      </c>
      <c r="D79" s="2" t="s">
        <v>551</v>
      </c>
      <c r="E79" s="2" t="s">
        <v>285</v>
      </c>
      <c r="F79" s="13" t="s">
        <v>382</v>
      </c>
      <c r="G79" s="2" t="s">
        <v>780</v>
      </c>
      <c r="H79" s="2" t="s">
        <v>320</v>
      </c>
      <c r="I79" s="13" t="s">
        <v>383</v>
      </c>
      <c r="J79" s="13" t="s">
        <v>384</v>
      </c>
      <c r="K79" s="2"/>
      <c r="L79" s="8" t="s">
        <v>6</v>
      </c>
      <c r="M79" s="2" t="s">
        <v>119</v>
      </c>
      <c r="N79" s="2"/>
      <c r="O79" s="2"/>
      <c r="P79" s="2"/>
      <c r="Q79" s="2"/>
    </row>
    <row r="80" spans="1:17" ht="60.75" customHeight="1" x14ac:dyDescent="0.25">
      <c r="A80" s="2" t="str">
        <f t="shared" si="1"/>
        <v>TC-FB-077</v>
      </c>
      <c r="B80" s="2" t="s">
        <v>134</v>
      </c>
      <c r="C80" s="2" t="s">
        <v>674</v>
      </c>
      <c r="D80" s="2" t="s">
        <v>788</v>
      </c>
      <c r="E80" s="2" t="s">
        <v>206</v>
      </c>
      <c r="F80" s="13" t="s">
        <v>843</v>
      </c>
      <c r="G80" s="2" t="s">
        <v>789</v>
      </c>
      <c r="H80" s="2" t="s">
        <v>790</v>
      </c>
      <c r="I80" s="13" t="s">
        <v>791</v>
      </c>
      <c r="J80" s="13" t="s">
        <v>792</v>
      </c>
      <c r="K80" s="2"/>
      <c r="L80" s="8" t="s">
        <v>6</v>
      </c>
      <c r="M80" s="2" t="s">
        <v>119</v>
      </c>
      <c r="N80" s="2"/>
      <c r="O80" s="2"/>
      <c r="P80" s="2"/>
      <c r="Q80" s="2"/>
    </row>
    <row r="81" spans="1:17" ht="60.75" customHeight="1" x14ac:dyDescent="0.25">
      <c r="A81" s="2" t="str">
        <f t="shared" si="1"/>
        <v>TC-FB-078</v>
      </c>
      <c r="B81" s="2" t="s">
        <v>134</v>
      </c>
      <c r="C81" s="2" t="s">
        <v>674</v>
      </c>
      <c r="D81" s="2" t="s">
        <v>788</v>
      </c>
      <c r="E81" s="2" t="s">
        <v>240</v>
      </c>
      <c r="F81" s="13" t="s">
        <v>793</v>
      </c>
      <c r="G81" s="2" t="s">
        <v>780</v>
      </c>
      <c r="H81" s="2" t="s">
        <v>794</v>
      </c>
      <c r="I81" s="13" t="s">
        <v>826</v>
      </c>
      <c r="J81" s="13" t="s">
        <v>792</v>
      </c>
      <c r="K81" s="2"/>
      <c r="L81" s="8" t="s">
        <v>6</v>
      </c>
      <c r="M81" s="2" t="s">
        <v>115</v>
      </c>
      <c r="N81" s="2"/>
      <c r="O81" s="2"/>
      <c r="P81" s="2"/>
      <c r="Q81" s="2"/>
    </row>
    <row r="82" spans="1:17" ht="60.75" customHeight="1" x14ac:dyDescent="0.25">
      <c r="A82" s="2" t="str">
        <f t="shared" si="1"/>
        <v>TC-FB-079</v>
      </c>
      <c r="B82" s="2" t="s">
        <v>134</v>
      </c>
      <c r="C82" s="2" t="s">
        <v>674</v>
      </c>
      <c r="D82" s="2" t="s">
        <v>788</v>
      </c>
      <c r="E82" s="2" t="s">
        <v>190</v>
      </c>
      <c r="F82" s="13" t="s">
        <v>328</v>
      </c>
      <c r="G82" s="2" t="s">
        <v>780</v>
      </c>
      <c r="H82" s="2" t="s">
        <v>329</v>
      </c>
      <c r="I82" s="13" t="s">
        <v>825</v>
      </c>
      <c r="J82" s="13" t="s">
        <v>795</v>
      </c>
      <c r="K82" s="2"/>
      <c r="L82" s="8" t="s">
        <v>6</v>
      </c>
      <c r="M82" s="2" t="s">
        <v>195</v>
      </c>
      <c r="N82" s="2"/>
      <c r="O82" s="2"/>
      <c r="P82" s="2"/>
      <c r="Q82" s="2"/>
    </row>
    <row r="83" spans="1:17" ht="60.75" customHeight="1" x14ac:dyDescent="0.25">
      <c r="A83" s="2" t="str">
        <f t="shared" si="1"/>
        <v>TC-FB-080</v>
      </c>
      <c r="B83" s="2" t="s">
        <v>134</v>
      </c>
      <c r="C83" s="2" t="s">
        <v>674</v>
      </c>
      <c r="D83" s="2" t="s">
        <v>552</v>
      </c>
      <c r="E83" s="2" t="s">
        <v>206</v>
      </c>
      <c r="F83" s="13" t="s">
        <v>385</v>
      </c>
      <c r="G83" s="2" t="s">
        <v>780</v>
      </c>
      <c r="H83" s="2" t="s">
        <v>386</v>
      </c>
      <c r="I83" s="13" t="s">
        <v>387</v>
      </c>
      <c r="J83" s="13" t="s">
        <v>574</v>
      </c>
      <c r="K83" s="2"/>
      <c r="L83" s="8" t="s">
        <v>6</v>
      </c>
      <c r="M83" s="2" t="s">
        <v>119</v>
      </c>
      <c r="N83" s="2"/>
      <c r="O83" s="2"/>
      <c r="P83" s="2"/>
      <c r="Q83" s="2"/>
    </row>
    <row r="84" spans="1:17" ht="60.75" customHeight="1" x14ac:dyDescent="0.25">
      <c r="A84" s="2" t="str">
        <f t="shared" si="1"/>
        <v>TC-FB-081</v>
      </c>
      <c r="B84" s="2" t="s">
        <v>134</v>
      </c>
      <c r="C84" s="2" t="s">
        <v>674</v>
      </c>
      <c r="D84" s="2" t="s">
        <v>552</v>
      </c>
      <c r="E84" s="2" t="s">
        <v>214</v>
      </c>
      <c r="F84" s="13" t="s">
        <v>388</v>
      </c>
      <c r="G84" s="2" t="s">
        <v>780</v>
      </c>
      <c r="H84" s="2" t="s">
        <v>377</v>
      </c>
      <c r="I84" s="13" t="s">
        <v>389</v>
      </c>
      <c r="J84" s="13" t="s">
        <v>390</v>
      </c>
      <c r="K84" s="2"/>
      <c r="L84" s="8" t="s">
        <v>6</v>
      </c>
      <c r="M84" s="2" t="s">
        <v>119</v>
      </c>
      <c r="N84" s="2"/>
      <c r="O84" s="2"/>
      <c r="P84" s="2"/>
      <c r="Q84" s="2"/>
    </row>
    <row r="85" spans="1:17" ht="60.75" customHeight="1" x14ac:dyDescent="0.25">
      <c r="A85" s="2" t="str">
        <f t="shared" si="1"/>
        <v>TC-FB-082</v>
      </c>
      <c r="B85" s="2" t="s">
        <v>134</v>
      </c>
      <c r="C85" s="2" t="s">
        <v>674</v>
      </c>
      <c r="D85" s="2" t="s">
        <v>552</v>
      </c>
      <c r="E85" s="2" t="s">
        <v>190</v>
      </c>
      <c r="F85" s="13" t="s">
        <v>391</v>
      </c>
      <c r="G85" s="2" t="s">
        <v>780</v>
      </c>
      <c r="H85" s="2" t="s">
        <v>316</v>
      </c>
      <c r="I85" s="13" t="s">
        <v>392</v>
      </c>
      <c r="J85" s="13" t="s">
        <v>393</v>
      </c>
      <c r="K85" s="2"/>
      <c r="L85" s="8" t="s">
        <v>6</v>
      </c>
      <c r="M85" s="2" t="s">
        <v>195</v>
      </c>
      <c r="N85" s="2"/>
      <c r="O85" s="2"/>
      <c r="P85" s="2"/>
      <c r="Q85" s="2"/>
    </row>
    <row r="86" spans="1:17" ht="60.75" customHeight="1" x14ac:dyDescent="0.25">
      <c r="A86" s="2" t="str">
        <f t="shared" si="1"/>
        <v>TC-FB-083</v>
      </c>
      <c r="B86" s="2" t="s">
        <v>134</v>
      </c>
      <c r="C86" s="2" t="s">
        <v>674</v>
      </c>
      <c r="D86" s="2" t="s">
        <v>796</v>
      </c>
      <c r="E86" s="2" t="s">
        <v>206</v>
      </c>
      <c r="F86" s="13" t="s">
        <v>841</v>
      </c>
      <c r="G86" s="2" t="s">
        <v>789</v>
      </c>
      <c r="H86" s="2" t="s">
        <v>802</v>
      </c>
      <c r="I86" s="13" t="s">
        <v>800</v>
      </c>
      <c r="J86" s="13" t="s">
        <v>801</v>
      </c>
      <c r="K86" s="2"/>
      <c r="L86" s="8" t="s">
        <v>6</v>
      </c>
      <c r="M86" s="2" t="s">
        <v>119</v>
      </c>
      <c r="N86" s="2"/>
      <c r="O86" s="2"/>
      <c r="P86" s="2"/>
      <c r="Q86" s="2"/>
    </row>
    <row r="87" spans="1:17" ht="60.75" customHeight="1" x14ac:dyDescent="0.25">
      <c r="A87" s="2" t="str">
        <f t="shared" si="1"/>
        <v>TC-FB-084</v>
      </c>
      <c r="B87" s="2" t="s">
        <v>134</v>
      </c>
      <c r="C87" s="2" t="s">
        <v>674</v>
      </c>
      <c r="D87" s="2" t="s">
        <v>796</v>
      </c>
      <c r="E87" s="2" t="s">
        <v>214</v>
      </c>
      <c r="F87" s="13" t="s">
        <v>842</v>
      </c>
      <c r="G87" s="2" t="s">
        <v>789</v>
      </c>
      <c r="H87" s="2" t="s">
        <v>803</v>
      </c>
      <c r="I87" s="13" t="s">
        <v>804</v>
      </c>
      <c r="J87" s="13" t="s">
        <v>390</v>
      </c>
      <c r="K87" s="2"/>
      <c r="L87" s="8" t="s">
        <v>6</v>
      </c>
      <c r="M87" s="2" t="s">
        <v>119</v>
      </c>
      <c r="N87" s="2"/>
      <c r="O87" s="2"/>
      <c r="P87" s="2"/>
      <c r="Q87" s="2"/>
    </row>
    <row r="88" spans="1:17" ht="60.75" customHeight="1" x14ac:dyDescent="0.25">
      <c r="A88" s="2" t="str">
        <f t="shared" si="1"/>
        <v>TC-FB-085</v>
      </c>
      <c r="B88" s="2" t="s">
        <v>134</v>
      </c>
      <c r="C88" s="2" t="s">
        <v>674</v>
      </c>
      <c r="D88" s="2" t="s">
        <v>796</v>
      </c>
      <c r="E88" s="2" t="s">
        <v>240</v>
      </c>
      <c r="F88" s="13" t="s">
        <v>797</v>
      </c>
      <c r="G88" s="2" t="s">
        <v>780</v>
      </c>
      <c r="H88" s="2" t="s">
        <v>805</v>
      </c>
      <c r="I88" s="13" t="s">
        <v>824</v>
      </c>
      <c r="J88" s="13" t="s">
        <v>801</v>
      </c>
      <c r="K88" s="2"/>
      <c r="L88" s="8" t="s">
        <v>6</v>
      </c>
      <c r="M88" s="2" t="s">
        <v>115</v>
      </c>
      <c r="N88" s="2"/>
      <c r="O88" s="2"/>
      <c r="P88" s="2"/>
      <c r="Q88" s="2"/>
    </row>
    <row r="89" spans="1:17" ht="60.75" customHeight="1" x14ac:dyDescent="0.25">
      <c r="A89" s="2" t="str">
        <f t="shared" si="1"/>
        <v>TC-FB-086</v>
      </c>
      <c r="B89" s="2" t="s">
        <v>134</v>
      </c>
      <c r="C89" s="2" t="s">
        <v>674</v>
      </c>
      <c r="D89" s="2" t="s">
        <v>796</v>
      </c>
      <c r="E89" s="2" t="s">
        <v>190</v>
      </c>
      <c r="F89" s="13" t="s">
        <v>798</v>
      </c>
      <c r="G89" s="2" t="s">
        <v>780</v>
      </c>
      <c r="H89" s="2" t="s">
        <v>329</v>
      </c>
      <c r="I89" s="13" t="s">
        <v>825</v>
      </c>
      <c r="J89" s="13" t="s">
        <v>799</v>
      </c>
      <c r="K89" s="2"/>
      <c r="L89" s="8" t="s">
        <v>6</v>
      </c>
      <c r="M89" s="2" t="s">
        <v>195</v>
      </c>
      <c r="N89" s="2"/>
      <c r="O89" s="2"/>
      <c r="P89" s="2"/>
      <c r="Q89" s="2"/>
    </row>
    <row r="90" spans="1:17" ht="60.75" customHeight="1" x14ac:dyDescent="0.25">
      <c r="A90" s="2" t="str">
        <f t="shared" si="1"/>
        <v>TC-FB-087</v>
      </c>
      <c r="B90" s="2" t="s">
        <v>134</v>
      </c>
      <c r="C90" s="2" t="s">
        <v>674</v>
      </c>
      <c r="D90" s="2" t="s">
        <v>372</v>
      </c>
      <c r="E90" s="2" t="s">
        <v>271</v>
      </c>
      <c r="F90" s="13" t="s">
        <v>854</v>
      </c>
      <c r="G90" s="2" t="s">
        <v>852</v>
      </c>
      <c r="H90" s="2" t="s">
        <v>853</v>
      </c>
      <c r="I90" s="13" t="s">
        <v>696</v>
      </c>
      <c r="J90" s="13" t="s">
        <v>694</v>
      </c>
      <c r="K90" s="2" t="s">
        <v>695</v>
      </c>
      <c r="L90" s="8" t="s">
        <v>7</v>
      </c>
      <c r="M90" s="2" t="s">
        <v>119</v>
      </c>
      <c r="N90" s="17" t="s">
        <v>622</v>
      </c>
      <c r="O90" s="2"/>
      <c r="P90" s="2"/>
      <c r="Q90" s="2"/>
    </row>
    <row r="91" spans="1:17" ht="60.75" customHeight="1" x14ac:dyDescent="0.25">
      <c r="A91" s="2" t="str">
        <f t="shared" si="1"/>
        <v>TC-FB-088</v>
      </c>
      <c r="B91" s="2" t="s">
        <v>135</v>
      </c>
      <c r="C91" s="2" t="s">
        <v>674</v>
      </c>
      <c r="D91" s="2" t="s">
        <v>418</v>
      </c>
      <c r="E91" s="2" t="s">
        <v>190</v>
      </c>
      <c r="F91" s="13" t="s">
        <v>806</v>
      </c>
      <c r="G91" s="2" t="s">
        <v>807</v>
      </c>
      <c r="H91" s="2" t="s">
        <v>192</v>
      </c>
      <c r="I91" s="13" t="s">
        <v>395</v>
      </c>
      <c r="J91" s="13" t="s">
        <v>602</v>
      </c>
      <c r="K91" s="2"/>
      <c r="L91" s="8" t="s">
        <v>6</v>
      </c>
      <c r="M91" s="2" t="s">
        <v>115</v>
      </c>
      <c r="N91" s="2"/>
      <c r="O91" s="2"/>
      <c r="P91" s="2"/>
      <c r="Q91" s="2"/>
    </row>
    <row r="92" spans="1:17" ht="60.75" customHeight="1" x14ac:dyDescent="0.25">
      <c r="A92" s="2" t="str">
        <f t="shared" si="1"/>
        <v>TC-FB-089</v>
      </c>
      <c r="B92" s="2" t="s">
        <v>135</v>
      </c>
      <c r="C92" s="2" t="s">
        <v>674</v>
      </c>
      <c r="D92" s="2" t="s">
        <v>394</v>
      </c>
      <c r="E92" s="2" t="s">
        <v>206</v>
      </c>
      <c r="F92" s="13" t="s">
        <v>808</v>
      </c>
      <c r="G92" s="2" t="s">
        <v>807</v>
      </c>
      <c r="H92" s="2" t="s">
        <v>809</v>
      </c>
      <c r="I92" s="13" t="s">
        <v>396</v>
      </c>
      <c r="J92" s="13" t="s">
        <v>810</v>
      </c>
      <c r="K92" s="2"/>
      <c r="L92" s="8" t="s">
        <v>6</v>
      </c>
      <c r="M92" s="2" t="s">
        <v>119</v>
      </c>
      <c r="N92" s="2"/>
      <c r="O92" s="2"/>
      <c r="P92" s="2"/>
      <c r="Q92" s="2" t="s">
        <v>721</v>
      </c>
    </row>
    <row r="93" spans="1:17" ht="60.75" customHeight="1" x14ac:dyDescent="0.25">
      <c r="A93" s="2" t="str">
        <f t="shared" si="1"/>
        <v>TC-FB-090</v>
      </c>
      <c r="B93" s="2" t="s">
        <v>135</v>
      </c>
      <c r="C93" s="2" t="s">
        <v>674</v>
      </c>
      <c r="D93" s="2" t="s">
        <v>394</v>
      </c>
      <c r="E93" s="2" t="s">
        <v>214</v>
      </c>
      <c r="F93" s="13" t="s">
        <v>397</v>
      </c>
      <c r="G93" s="2" t="s">
        <v>807</v>
      </c>
      <c r="H93" s="2" t="s">
        <v>377</v>
      </c>
      <c r="I93" s="13" t="s">
        <v>398</v>
      </c>
      <c r="J93" s="13" t="s">
        <v>811</v>
      </c>
      <c r="K93" s="2"/>
      <c r="L93" s="8" t="s">
        <v>6</v>
      </c>
      <c r="M93" s="2" t="s">
        <v>119</v>
      </c>
      <c r="N93" s="2"/>
      <c r="O93" s="2"/>
      <c r="P93" s="2"/>
      <c r="Q93" s="2"/>
    </row>
    <row r="94" spans="1:17" ht="60.75" customHeight="1" x14ac:dyDescent="0.25">
      <c r="A94" s="2" t="str">
        <f t="shared" si="1"/>
        <v>TC-FB-091</v>
      </c>
      <c r="B94" s="2" t="s">
        <v>135</v>
      </c>
      <c r="C94" s="2" t="s">
        <v>674</v>
      </c>
      <c r="D94" s="2" t="s">
        <v>394</v>
      </c>
      <c r="E94" s="2" t="s">
        <v>190</v>
      </c>
      <c r="F94" s="13" t="s">
        <v>399</v>
      </c>
      <c r="G94" s="2" t="s">
        <v>807</v>
      </c>
      <c r="H94" s="2" t="s">
        <v>316</v>
      </c>
      <c r="I94" s="13" t="s">
        <v>400</v>
      </c>
      <c r="J94" s="13" t="s">
        <v>401</v>
      </c>
      <c r="K94" s="2"/>
      <c r="L94" s="8" t="s">
        <v>6</v>
      </c>
      <c r="M94" s="2" t="s">
        <v>195</v>
      </c>
      <c r="N94" s="2"/>
      <c r="O94" s="2"/>
      <c r="P94" s="2"/>
      <c r="Q94" s="2"/>
    </row>
    <row r="95" spans="1:17" ht="60.75" customHeight="1" x14ac:dyDescent="0.25">
      <c r="A95" s="2" t="str">
        <f t="shared" si="1"/>
        <v>TC-FB-092</v>
      </c>
      <c r="B95" s="2" t="s">
        <v>135</v>
      </c>
      <c r="C95" s="2" t="s">
        <v>674</v>
      </c>
      <c r="D95" s="2" t="s">
        <v>812</v>
      </c>
      <c r="E95" s="2" t="s">
        <v>206</v>
      </c>
      <c r="F95" s="13" t="s">
        <v>839</v>
      </c>
      <c r="G95" s="2" t="s">
        <v>815</v>
      </c>
      <c r="H95" s="2" t="s">
        <v>816</v>
      </c>
      <c r="I95" s="13" t="s">
        <v>822</v>
      </c>
      <c r="J95" s="13" t="s">
        <v>823</v>
      </c>
      <c r="K95" s="2"/>
      <c r="L95" s="8" t="s">
        <v>6</v>
      </c>
      <c r="M95" s="2" t="s">
        <v>119</v>
      </c>
      <c r="N95" s="2"/>
      <c r="O95" s="2"/>
      <c r="P95" s="2"/>
      <c r="Q95" s="2"/>
    </row>
    <row r="96" spans="1:17" ht="60.75" customHeight="1" x14ac:dyDescent="0.25">
      <c r="A96" s="2" t="str">
        <f t="shared" si="1"/>
        <v>TC-FB-093</v>
      </c>
      <c r="B96" s="2" t="s">
        <v>135</v>
      </c>
      <c r="C96" s="2" t="s">
        <v>674</v>
      </c>
      <c r="D96" s="2" t="s">
        <v>812</v>
      </c>
      <c r="E96" s="2" t="s">
        <v>214</v>
      </c>
      <c r="F96" s="13" t="s">
        <v>840</v>
      </c>
      <c r="G96" s="2" t="s">
        <v>815</v>
      </c>
      <c r="H96" s="2" t="s">
        <v>803</v>
      </c>
      <c r="I96" s="13" t="s">
        <v>821</v>
      </c>
      <c r="J96" s="13" t="s">
        <v>811</v>
      </c>
      <c r="K96" s="2"/>
      <c r="L96" s="8" t="s">
        <v>6</v>
      </c>
      <c r="M96" s="2" t="s">
        <v>119</v>
      </c>
      <c r="N96" s="2"/>
      <c r="O96" s="2"/>
      <c r="P96" s="2"/>
      <c r="Q96" s="2"/>
    </row>
    <row r="97" spans="1:17" ht="60.75" customHeight="1" x14ac:dyDescent="0.25">
      <c r="A97" s="2" t="str">
        <f t="shared" si="1"/>
        <v>TC-FB-094</v>
      </c>
      <c r="B97" s="2" t="s">
        <v>135</v>
      </c>
      <c r="C97" s="2" t="s">
        <v>674</v>
      </c>
      <c r="D97" s="2" t="s">
        <v>812</v>
      </c>
      <c r="E97" s="2" t="s">
        <v>240</v>
      </c>
      <c r="F97" s="13" t="s">
        <v>813</v>
      </c>
      <c r="G97" s="2" t="s">
        <v>807</v>
      </c>
      <c r="H97" s="2" t="s">
        <v>817</v>
      </c>
      <c r="I97" s="13" t="s">
        <v>820</v>
      </c>
      <c r="J97" s="13" t="s">
        <v>823</v>
      </c>
      <c r="K97" s="2"/>
      <c r="L97" s="8" t="s">
        <v>6</v>
      </c>
      <c r="M97" s="2" t="s">
        <v>115</v>
      </c>
      <c r="N97" s="2"/>
      <c r="O97" s="2"/>
      <c r="P97" s="2"/>
      <c r="Q97" s="2"/>
    </row>
    <row r="98" spans="1:17" ht="60.75" customHeight="1" x14ac:dyDescent="0.25">
      <c r="A98" s="2" t="str">
        <f t="shared" si="1"/>
        <v>TC-FB-095</v>
      </c>
      <c r="B98" s="2" t="s">
        <v>135</v>
      </c>
      <c r="C98" s="2" t="s">
        <v>674</v>
      </c>
      <c r="D98" s="2" t="s">
        <v>812</v>
      </c>
      <c r="E98" s="2" t="s">
        <v>190</v>
      </c>
      <c r="F98" s="13" t="s">
        <v>814</v>
      </c>
      <c r="G98" s="2" t="s">
        <v>780</v>
      </c>
      <c r="H98" s="2" t="s">
        <v>329</v>
      </c>
      <c r="I98" s="13" t="s">
        <v>819</v>
      </c>
      <c r="J98" s="13" t="s">
        <v>818</v>
      </c>
      <c r="K98" s="2"/>
      <c r="L98" s="8" t="s">
        <v>6</v>
      </c>
      <c r="M98" s="2" t="s">
        <v>195</v>
      </c>
      <c r="N98" s="2"/>
      <c r="O98" s="2"/>
      <c r="P98" s="2"/>
      <c r="Q98" s="2"/>
    </row>
    <row r="99" spans="1:17" ht="60.75" customHeight="1" x14ac:dyDescent="0.25">
      <c r="A99" s="2" t="str">
        <f t="shared" si="1"/>
        <v>TC-FB-096</v>
      </c>
      <c r="B99" s="2" t="s">
        <v>135</v>
      </c>
      <c r="C99" s="2" t="s">
        <v>674</v>
      </c>
      <c r="D99" s="2" t="s">
        <v>554</v>
      </c>
      <c r="E99" s="2" t="s">
        <v>190</v>
      </c>
      <c r="F99" s="13" t="s">
        <v>557</v>
      </c>
      <c r="G99" s="2" t="s">
        <v>781</v>
      </c>
      <c r="H99" s="2" t="s">
        <v>705</v>
      </c>
      <c r="I99" s="13" t="s">
        <v>405</v>
      </c>
      <c r="J99" s="13" t="s">
        <v>556</v>
      </c>
      <c r="K99" s="2"/>
      <c r="L99" s="8" t="s">
        <v>6</v>
      </c>
      <c r="M99" s="2" t="s">
        <v>119</v>
      </c>
      <c r="N99" s="2"/>
      <c r="O99" s="2"/>
      <c r="P99" s="2"/>
      <c r="Q99" s="2"/>
    </row>
    <row r="100" spans="1:17" ht="60.75" customHeight="1" x14ac:dyDescent="0.25">
      <c r="A100" s="2" t="str">
        <f t="shared" si="1"/>
        <v>TC-FB-097</v>
      </c>
      <c r="B100" s="2" t="s">
        <v>135</v>
      </c>
      <c r="C100" s="2" t="s">
        <v>674</v>
      </c>
      <c r="D100" s="2" t="s">
        <v>554</v>
      </c>
      <c r="E100" s="2" t="s">
        <v>206</v>
      </c>
      <c r="F100" s="13" t="s">
        <v>406</v>
      </c>
      <c r="G100" s="2" t="s">
        <v>782</v>
      </c>
      <c r="H100" s="2" t="s">
        <v>407</v>
      </c>
      <c r="I100" s="13" t="s">
        <v>408</v>
      </c>
      <c r="J100" s="13" t="s">
        <v>409</v>
      </c>
      <c r="K100" s="2"/>
      <c r="L100" s="8" t="s">
        <v>6</v>
      </c>
      <c r="M100" s="2" t="s">
        <v>119</v>
      </c>
      <c r="N100" s="2"/>
      <c r="O100" s="2"/>
      <c r="P100" s="2"/>
      <c r="Q100" s="2"/>
    </row>
    <row r="101" spans="1:17" ht="60.75" customHeight="1" x14ac:dyDescent="0.25">
      <c r="A101" s="2" t="str">
        <f t="shared" si="1"/>
        <v>TC-FB-098</v>
      </c>
      <c r="B101" s="2" t="s">
        <v>135</v>
      </c>
      <c r="C101" s="2" t="s">
        <v>674</v>
      </c>
      <c r="D101" s="2" t="s">
        <v>554</v>
      </c>
      <c r="E101" s="2" t="s">
        <v>190</v>
      </c>
      <c r="F101" s="13" t="s">
        <v>410</v>
      </c>
      <c r="G101" s="2" t="s">
        <v>782</v>
      </c>
      <c r="H101" s="2" t="s">
        <v>192</v>
      </c>
      <c r="I101" s="13" t="s">
        <v>411</v>
      </c>
      <c r="J101" s="13" t="s">
        <v>412</v>
      </c>
      <c r="K101" s="2"/>
      <c r="L101" s="8" t="s">
        <v>6</v>
      </c>
      <c r="M101" s="2" t="s">
        <v>115</v>
      </c>
      <c r="N101" s="2"/>
      <c r="O101" s="2"/>
      <c r="P101" s="2"/>
      <c r="Q101" s="2"/>
    </row>
    <row r="102" spans="1:17" ht="60.75" customHeight="1" x14ac:dyDescent="0.25">
      <c r="A102" s="2" t="str">
        <f t="shared" si="1"/>
        <v>TC-FB-099</v>
      </c>
      <c r="B102" s="2" t="s">
        <v>135</v>
      </c>
      <c r="C102" s="2" t="s">
        <v>674</v>
      </c>
      <c r="D102" s="2" t="s">
        <v>554</v>
      </c>
      <c r="E102" s="2" t="s">
        <v>214</v>
      </c>
      <c r="F102" s="13" t="s">
        <v>413</v>
      </c>
      <c r="G102" s="2" t="s">
        <v>782</v>
      </c>
      <c r="H102" s="2" t="s">
        <v>414</v>
      </c>
      <c r="I102" s="13" t="s">
        <v>415</v>
      </c>
      <c r="J102" s="13" t="s">
        <v>416</v>
      </c>
      <c r="K102" s="2"/>
      <c r="L102" s="8" t="s">
        <v>6</v>
      </c>
      <c r="M102" s="2" t="s">
        <v>115</v>
      </c>
      <c r="N102" s="2"/>
      <c r="O102" s="2"/>
      <c r="P102" s="2"/>
      <c r="Q102" s="2"/>
    </row>
    <row r="103" spans="1:17" ht="60.75" customHeight="1" x14ac:dyDescent="0.25">
      <c r="A103" s="2" t="str">
        <f t="shared" si="1"/>
        <v>TC-FB-100</v>
      </c>
      <c r="B103" s="2" t="s">
        <v>135</v>
      </c>
      <c r="C103" s="2" t="s">
        <v>674</v>
      </c>
      <c r="D103" s="2" t="s">
        <v>555</v>
      </c>
      <c r="E103" s="2" t="s">
        <v>271</v>
      </c>
      <c r="F103" s="13" t="s">
        <v>417</v>
      </c>
      <c r="G103" s="2" t="s">
        <v>711</v>
      </c>
      <c r="H103" s="2" t="s">
        <v>418</v>
      </c>
      <c r="I103" s="13" t="s">
        <v>419</v>
      </c>
      <c r="J103" s="13" t="s">
        <v>420</v>
      </c>
      <c r="K103" s="2"/>
      <c r="L103" s="8" t="s">
        <v>6</v>
      </c>
      <c r="M103" s="2" t="s">
        <v>119</v>
      </c>
      <c r="N103" s="2"/>
      <c r="O103" s="2"/>
      <c r="P103" s="2"/>
      <c r="Q103" s="2"/>
    </row>
    <row r="104" spans="1:17" ht="60.75" customHeight="1" x14ac:dyDescent="0.25">
      <c r="A104" s="2" t="str">
        <f t="shared" si="1"/>
        <v>TC-FB-101</v>
      </c>
      <c r="B104" s="2" t="s">
        <v>135</v>
      </c>
      <c r="C104" s="2" t="s">
        <v>674</v>
      </c>
      <c r="D104" s="2" t="s">
        <v>555</v>
      </c>
      <c r="E104" s="2" t="s">
        <v>271</v>
      </c>
      <c r="F104" s="13" t="s">
        <v>421</v>
      </c>
      <c r="G104" s="2" t="s">
        <v>712</v>
      </c>
      <c r="H104" s="2" t="s">
        <v>705</v>
      </c>
      <c r="I104" s="13" t="s">
        <v>704</v>
      </c>
      <c r="J104" s="13" t="s">
        <v>700</v>
      </c>
      <c r="K104" s="13" t="s">
        <v>710</v>
      </c>
      <c r="L104" s="8" t="s">
        <v>7</v>
      </c>
      <c r="M104" s="2" t="s">
        <v>119</v>
      </c>
      <c r="N104" s="17" t="s">
        <v>708</v>
      </c>
      <c r="O104" s="2"/>
      <c r="P104" s="2"/>
      <c r="Q104" s="2"/>
    </row>
    <row r="105" spans="1:17" ht="60.75" customHeight="1" x14ac:dyDescent="0.25">
      <c r="A105" s="2" t="str">
        <f t="shared" si="1"/>
        <v>TC-FB-102</v>
      </c>
      <c r="B105" s="2" t="s">
        <v>135</v>
      </c>
      <c r="C105" s="2" t="s">
        <v>674</v>
      </c>
      <c r="D105" s="2" t="s">
        <v>555</v>
      </c>
      <c r="E105" s="2" t="s">
        <v>271</v>
      </c>
      <c r="F105" s="13" t="s">
        <v>422</v>
      </c>
      <c r="G105" s="2" t="s">
        <v>713</v>
      </c>
      <c r="H105" s="2" t="s">
        <v>701</v>
      </c>
      <c r="I105" s="13" t="s">
        <v>703</v>
      </c>
      <c r="J105" s="13" t="s">
        <v>702</v>
      </c>
      <c r="K105" s="2"/>
      <c r="L105" s="8" t="s">
        <v>6</v>
      </c>
      <c r="M105" s="2" t="s">
        <v>115</v>
      </c>
      <c r="N105" s="2"/>
      <c r="O105" s="2"/>
      <c r="P105" s="2"/>
      <c r="Q105" s="2"/>
    </row>
    <row r="106" spans="1:17" ht="60.75" customHeight="1" x14ac:dyDescent="0.25">
      <c r="A106" s="2" t="str">
        <f t="shared" si="1"/>
        <v>TC-FB-103</v>
      </c>
      <c r="B106" s="2" t="s">
        <v>135</v>
      </c>
      <c r="C106" s="2" t="s">
        <v>674</v>
      </c>
      <c r="D106" s="2" t="s">
        <v>555</v>
      </c>
      <c r="E106" s="2" t="s">
        <v>240</v>
      </c>
      <c r="F106" s="13" t="s">
        <v>423</v>
      </c>
      <c r="G106" s="2" t="s">
        <v>706</v>
      </c>
      <c r="H106" s="2" t="s">
        <v>707</v>
      </c>
      <c r="I106" s="13" t="s">
        <v>424</v>
      </c>
      <c r="J106" s="13" t="s">
        <v>425</v>
      </c>
      <c r="K106" s="2"/>
      <c r="L106" s="8" t="s">
        <v>6</v>
      </c>
      <c r="M106" s="2" t="s">
        <v>115</v>
      </c>
      <c r="N106" s="2"/>
      <c r="O106" s="2"/>
      <c r="P106" s="2"/>
      <c r="Q106" s="2"/>
    </row>
    <row r="107" spans="1:17" ht="60.75" customHeight="1" x14ac:dyDescent="0.25">
      <c r="A107" s="2" t="str">
        <f t="shared" si="1"/>
        <v>TC-FB-104</v>
      </c>
      <c r="B107" s="2" t="s">
        <v>135</v>
      </c>
      <c r="C107" s="2" t="s">
        <v>674</v>
      </c>
      <c r="D107" s="2" t="s">
        <v>555</v>
      </c>
      <c r="E107" s="2" t="s">
        <v>206</v>
      </c>
      <c r="F107" s="13" t="s">
        <v>426</v>
      </c>
      <c r="G107" s="2" t="s">
        <v>712</v>
      </c>
      <c r="H107" s="2" t="s">
        <v>427</v>
      </c>
      <c r="I107" s="13" t="s">
        <v>428</v>
      </c>
      <c r="J107" s="13" t="s">
        <v>429</v>
      </c>
      <c r="K107" s="2"/>
      <c r="L107" s="8" t="s">
        <v>6</v>
      </c>
      <c r="M107" s="2" t="s">
        <v>115</v>
      </c>
      <c r="N107" s="2"/>
      <c r="O107" s="2"/>
      <c r="P107" s="2"/>
      <c r="Q107" s="2"/>
    </row>
    <row r="108" spans="1:17" ht="60.75" customHeight="1" x14ac:dyDescent="0.25">
      <c r="A108" s="2" t="str">
        <f t="shared" si="1"/>
        <v>TC-FB-105</v>
      </c>
      <c r="B108" s="2" t="s">
        <v>135</v>
      </c>
      <c r="C108" s="2" t="s">
        <v>674</v>
      </c>
      <c r="D108" s="2" t="s">
        <v>555</v>
      </c>
      <c r="E108" s="2" t="s">
        <v>271</v>
      </c>
      <c r="F108" s="13" t="s">
        <v>430</v>
      </c>
      <c r="G108" s="2" t="s">
        <v>714</v>
      </c>
      <c r="H108" s="2" t="s">
        <v>707</v>
      </c>
      <c r="I108" s="13" t="s">
        <v>431</v>
      </c>
      <c r="J108" s="13" t="s">
        <v>432</v>
      </c>
      <c r="K108" s="2"/>
      <c r="L108" s="8" t="s">
        <v>6</v>
      </c>
      <c r="M108" s="2" t="s">
        <v>195</v>
      </c>
      <c r="N108" s="2"/>
      <c r="O108" s="2"/>
      <c r="P108" s="2"/>
      <c r="Q108" s="2"/>
    </row>
    <row r="109" spans="1:17" ht="60.75" customHeight="1" x14ac:dyDescent="0.25">
      <c r="A109" s="2" t="str">
        <f t="shared" si="1"/>
        <v>TC-FB-106</v>
      </c>
      <c r="B109" s="2" t="s">
        <v>136</v>
      </c>
      <c r="C109" s="2" t="s">
        <v>674</v>
      </c>
      <c r="D109" s="2" t="s">
        <v>58</v>
      </c>
      <c r="E109" s="2" t="s">
        <v>206</v>
      </c>
      <c r="F109" s="13" t="s">
        <v>433</v>
      </c>
      <c r="G109" s="2" t="s">
        <v>783</v>
      </c>
      <c r="H109" s="2" t="s">
        <v>434</v>
      </c>
      <c r="I109" s="13" t="s">
        <v>612</v>
      </c>
      <c r="J109" s="13" t="s">
        <v>435</v>
      </c>
      <c r="K109" s="2"/>
      <c r="L109" s="8" t="s">
        <v>6</v>
      </c>
      <c r="M109" s="2" t="s">
        <v>119</v>
      </c>
      <c r="N109" s="2"/>
      <c r="O109" s="2"/>
      <c r="P109" s="2"/>
      <c r="Q109" s="2"/>
    </row>
    <row r="110" spans="1:17" ht="60.75" customHeight="1" x14ac:dyDescent="0.25">
      <c r="A110" s="2" t="str">
        <f t="shared" si="1"/>
        <v>TC-FB-107</v>
      </c>
      <c r="B110" s="2" t="s">
        <v>136</v>
      </c>
      <c r="C110" s="2" t="s">
        <v>674</v>
      </c>
      <c r="D110" s="2" t="s">
        <v>58</v>
      </c>
      <c r="E110" s="2" t="s">
        <v>190</v>
      </c>
      <c r="F110" s="13" t="s">
        <v>436</v>
      </c>
      <c r="G110" s="2" t="s">
        <v>783</v>
      </c>
      <c r="H110" s="2" t="s">
        <v>437</v>
      </c>
      <c r="I110" s="13" t="s">
        <v>438</v>
      </c>
      <c r="J110" s="13" t="s">
        <v>439</v>
      </c>
      <c r="K110" s="2"/>
      <c r="L110" s="8" t="s">
        <v>6</v>
      </c>
      <c r="M110" s="2" t="s">
        <v>115</v>
      </c>
      <c r="N110" s="2"/>
      <c r="O110" s="2"/>
      <c r="P110" s="2"/>
      <c r="Q110" s="2"/>
    </row>
    <row r="111" spans="1:17" ht="60.75" customHeight="1" x14ac:dyDescent="0.25">
      <c r="A111" s="2" t="str">
        <f t="shared" si="1"/>
        <v>TC-FB-108</v>
      </c>
      <c r="B111" s="2" t="s">
        <v>136</v>
      </c>
      <c r="C111" s="2" t="s">
        <v>674</v>
      </c>
      <c r="D111" s="2" t="s">
        <v>58</v>
      </c>
      <c r="E111" s="2" t="s">
        <v>271</v>
      </c>
      <c r="F111" s="13" t="s">
        <v>440</v>
      </c>
      <c r="G111" s="2" t="s">
        <v>783</v>
      </c>
      <c r="H111" s="2" t="s">
        <v>434</v>
      </c>
      <c r="I111" s="13" t="s">
        <v>441</v>
      </c>
      <c r="J111" s="13" t="s">
        <v>442</v>
      </c>
      <c r="K111" s="2"/>
      <c r="L111" s="8" t="s">
        <v>6</v>
      </c>
      <c r="M111" s="2" t="s">
        <v>119</v>
      </c>
      <c r="N111" s="2"/>
      <c r="O111" s="2"/>
      <c r="P111" s="2"/>
      <c r="Q111" s="2"/>
    </row>
    <row r="112" spans="1:17" ht="60.75" customHeight="1" x14ac:dyDescent="0.25">
      <c r="A112" s="2" t="str">
        <f t="shared" si="1"/>
        <v>TC-FB-109</v>
      </c>
      <c r="B112" s="2" t="s">
        <v>136</v>
      </c>
      <c r="C112" s="2" t="s">
        <v>674</v>
      </c>
      <c r="D112" s="2" t="s">
        <v>827</v>
      </c>
      <c r="E112" s="2" t="s">
        <v>206</v>
      </c>
      <c r="F112" s="13" t="s">
        <v>831</v>
      </c>
      <c r="G112" s="2" t="s">
        <v>828</v>
      </c>
      <c r="H112" s="2" t="s">
        <v>829</v>
      </c>
      <c r="I112" s="13" t="s">
        <v>837</v>
      </c>
      <c r="J112" s="13" t="s">
        <v>836</v>
      </c>
      <c r="K112" s="2"/>
      <c r="L112" s="8" t="s">
        <v>6</v>
      </c>
      <c r="M112" s="2" t="s">
        <v>119</v>
      </c>
      <c r="N112" s="2"/>
      <c r="O112" s="2"/>
      <c r="P112" s="2"/>
      <c r="Q112" s="2"/>
    </row>
    <row r="113" spans="1:17" ht="60.75" customHeight="1" x14ac:dyDescent="0.25">
      <c r="A113" s="2" t="str">
        <f t="shared" si="1"/>
        <v>TC-FB-110</v>
      </c>
      <c r="B113" s="2" t="s">
        <v>136</v>
      </c>
      <c r="C113" s="2" t="s">
        <v>674</v>
      </c>
      <c r="D113" s="2" t="s">
        <v>827</v>
      </c>
      <c r="E113" s="2" t="s">
        <v>240</v>
      </c>
      <c r="F113" s="13" t="s">
        <v>832</v>
      </c>
      <c r="G113" s="2" t="s">
        <v>783</v>
      </c>
      <c r="H113" s="2" t="s">
        <v>830</v>
      </c>
      <c r="I113" s="13" t="s">
        <v>838</v>
      </c>
      <c r="J113" s="13" t="s">
        <v>792</v>
      </c>
      <c r="K113" s="2"/>
      <c r="L113" s="8" t="s">
        <v>6</v>
      </c>
      <c r="M113" s="2" t="s">
        <v>115</v>
      </c>
      <c r="N113" s="2"/>
      <c r="O113" s="2"/>
      <c r="P113" s="2"/>
      <c r="Q113" s="2"/>
    </row>
    <row r="114" spans="1:17" ht="60.75" customHeight="1" x14ac:dyDescent="0.25">
      <c r="A114" s="2" t="str">
        <f t="shared" si="1"/>
        <v>TC-FB-111</v>
      </c>
      <c r="B114" s="2" t="s">
        <v>136</v>
      </c>
      <c r="C114" s="2" t="s">
        <v>674</v>
      </c>
      <c r="D114" s="2" t="s">
        <v>827</v>
      </c>
      <c r="E114" s="2" t="s">
        <v>190</v>
      </c>
      <c r="F114" s="13" t="s">
        <v>833</v>
      </c>
      <c r="G114" s="2" t="s">
        <v>783</v>
      </c>
      <c r="H114" s="2" t="s">
        <v>329</v>
      </c>
      <c r="I114" s="13" t="s">
        <v>834</v>
      </c>
      <c r="J114" s="13" t="s">
        <v>835</v>
      </c>
      <c r="K114" s="2"/>
      <c r="L114" s="8" t="s">
        <v>6</v>
      </c>
      <c r="M114" s="2" t="s">
        <v>195</v>
      </c>
      <c r="N114" s="2"/>
      <c r="O114" s="2"/>
      <c r="P114" s="2"/>
      <c r="Q114" s="2"/>
    </row>
    <row r="115" spans="1:17" ht="60.75" customHeight="1" x14ac:dyDescent="0.25">
      <c r="A115" s="2" t="str">
        <f t="shared" si="1"/>
        <v>TC-FB-112</v>
      </c>
      <c r="B115" s="2" t="s">
        <v>136</v>
      </c>
      <c r="C115" s="2" t="s">
        <v>674</v>
      </c>
      <c r="D115" s="2" t="s">
        <v>434</v>
      </c>
      <c r="E115" s="2" t="s">
        <v>190</v>
      </c>
      <c r="F115" s="13" t="s">
        <v>443</v>
      </c>
      <c r="G115" s="2" t="s">
        <v>783</v>
      </c>
      <c r="H115" s="2" t="s">
        <v>192</v>
      </c>
      <c r="I115" s="13" t="s">
        <v>444</v>
      </c>
      <c r="J115" s="13" t="s">
        <v>558</v>
      </c>
      <c r="K115" s="2"/>
      <c r="L115" s="8" t="s">
        <v>6</v>
      </c>
      <c r="M115" s="2" t="s">
        <v>115</v>
      </c>
      <c r="N115" s="2"/>
      <c r="O115" s="2"/>
      <c r="P115" s="2"/>
      <c r="Q115" s="2"/>
    </row>
    <row r="116" spans="1:17" ht="60.75" customHeight="1" x14ac:dyDescent="0.25">
      <c r="A116" s="2" t="str">
        <f t="shared" si="1"/>
        <v>TC-FB-113</v>
      </c>
      <c r="B116" s="2" t="s">
        <v>137</v>
      </c>
      <c r="C116" s="2" t="s">
        <v>674</v>
      </c>
      <c r="D116" s="2" t="s">
        <v>403</v>
      </c>
      <c r="E116" s="2" t="s">
        <v>190</v>
      </c>
      <c r="F116" s="13" t="s">
        <v>402</v>
      </c>
      <c r="G116" s="2" t="s">
        <v>784</v>
      </c>
      <c r="H116" s="2" t="s">
        <v>403</v>
      </c>
      <c r="I116" s="13" t="s">
        <v>404</v>
      </c>
      <c r="J116" s="13" t="s">
        <v>553</v>
      </c>
      <c r="K116" s="2"/>
      <c r="L116" s="8" t="s">
        <v>6</v>
      </c>
      <c r="M116" s="2" t="s">
        <v>115</v>
      </c>
      <c r="N116" s="2"/>
      <c r="O116" s="2"/>
      <c r="P116" s="2"/>
      <c r="Q116" s="2"/>
    </row>
    <row r="117" spans="1:17" ht="60.75" customHeight="1" x14ac:dyDescent="0.25">
      <c r="A117" s="2" t="str">
        <f t="shared" si="1"/>
        <v>TC-FB-114</v>
      </c>
      <c r="B117" s="2" t="s">
        <v>138</v>
      </c>
      <c r="C117" s="2" t="s">
        <v>674</v>
      </c>
      <c r="D117" s="2" t="s">
        <v>677</v>
      </c>
      <c r="E117" s="2" t="s">
        <v>445</v>
      </c>
      <c r="F117" s="13" t="s">
        <v>880</v>
      </c>
      <c r="G117" s="2" t="s">
        <v>698</v>
      </c>
      <c r="H117" s="2" t="s">
        <v>881</v>
      </c>
      <c r="I117" s="13" t="s">
        <v>882</v>
      </c>
      <c r="J117" s="13" t="s">
        <v>894</v>
      </c>
      <c r="K117" s="2"/>
      <c r="L117" s="8" t="s">
        <v>6</v>
      </c>
      <c r="M117" s="2" t="s">
        <v>119</v>
      </c>
      <c r="N117" s="2"/>
      <c r="O117" s="2"/>
      <c r="P117" s="2"/>
      <c r="Q117" s="2"/>
    </row>
    <row r="118" spans="1:17" ht="60.75" customHeight="1" x14ac:dyDescent="0.25">
      <c r="A118" s="2" t="str">
        <f t="shared" si="1"/>
        <v>TC-FB-115</v>
      </c>
      <c r="B118" s="2" t="s">
        <v>138</v>
      </c>
      <c r="C118" s="2" t="s">
        <v>674</v>
      </c>
      <c r="D118" s="2" t="s">
        <v>554</v>
      </c>
      <c r="E118" s="2" t="s">
        <v>445</v>
      </c>
      <c r="F118" s="13" t="s">
        <v>883</v>
      </c>
      <c r="G118" s="2" t="s">
        <v>698</v>
      </c>
      <c r="H118" s="2" t="s">
        <v>446</v>
      </c>
      <c r="I118" s="13" t="s">
        <v>884</v>
      </c>
      <c r="J118" s="13" t="s">
        <v>893</v>
      </c>
      <c r="K118" s="2" t="s">
        <v>912</v>
      </c>
      <c r="L118" s="8" t="s">
        <v>7</v>
      </c>
      <c r="M118" s="2" t="s">
        <v>119</v>
      </c>
      <c r="N118" s="17" t="s">
        <v>933</v>
      </c>
      <c r="O118" s="2"/>
      <c r="P118" s="2"/>
      <c r="Q118" s="2"/>
    </row>
    <row r="119" spans="1:17" ht="60.75" customHeight="1" x14ac:dyDescent="0.25">
      <c r="A119" s="2" t="str">
        <f t="shared" si="1"/>
        <v>TC-FB-116</v>
      </c>
      <c r="B119" s="2" t="s">
        <v>138</v>
      </c>
      <c r="C119" s="2" t="s">
        <v>674</v>
      </c>
      <c r="D119" s="2" t="s">
        <v>885</v>
      </c>
      <c r="E119" s="2" t="s">
        <v>445</v>
      </c>
      <c r="F119" s="13" t="s">
        <v>447</v>
      </c>
      <c r="G119" s="2" t="s">
        <v>699</v>
      </c>
      <c r="H119" s="2" t="s">
        <v>886</v>
      </c>
      <c r="I119" s="13" t="s">
        <v>890</v>
      </c>
      <c r="J119" s="13" t="s">
        <v>892</v>
      </c>
      <c r="K119" s="2"/>
      <c r="L119" s="8" t="s">
        <v>6</v>
      </c>
      <c r="M119" s="2" t="s">
        <v>119</v>
      </c>
      <c r="N119" s="2"/>
      <c r="O119" s="2"/>
      <c r="P119" s="2"/>
      <c r="Q119" s="2"/>
    </row>
    <row r="120" spans="1:17" ht="60.75" customHeight="1" x14ac:dyDescent="0.25">
      <c r="A120" s="2" t="str">
        <f t="shared" si="1"/>
        <v>TC-FB-117</v>
      </c>
      <c r="B120" s="2" t="s">
        <v>138</v>
      </c>
      <c r="C120" s="2" t="s">
        <v>674</v>
      </c>
      <c r="D120" s="2" t="s">
        <v>372</v>
      </c>
      <c r="E120" s="2" t="s">
        <v>445</v>
      </c>
      <c r="F120" s="13" t="s">
        <v>888</v>
      </c>
      <c r="G120" s="2" t="s">
        <v>887</v>
      </c>
      <c r="H120" s="2" t="s">
        <v>889</v>
      </c>
      <c r="I120" s="13" t="s">
        <v>891</v>
      </c>
      <c r="J120" s="13" t="s">
        <v>895</v>
      </c>
      <c r="K120" s="2"/>
      <c r="L120" s="8" t="s">
        <v>6</v>
      </c>
      <c r="M120" s="2" t="s">
        <v>119</v>
      </c>
      <c r="N120" s="2"/>
      <c r="O120" s="2"/>
      <c r="P120" s="2"/>
      <c r="Q120" s="2"/>
    </row>
    <row r="121" spans="1:17" ht="60.75" customHeight="1" x14ac:dyDescent="0.25">
      <c r="A121" s="2" t="str">
        <f t="shared" si="1"/>
        <v>TC-FB-118</v>
      </c>
      <c r="B121" s="2" t="s">
        <v>138</v>
      </c>
      <c r="C121" s="2" t="s">
        <v>674</v>
      </c>
      <c r="D121" s="2" t="s">
        <v>394</v>
      </c>
      <c r="E121" s="2" t="s">
        <v>445</v>
      </c>
      <c r="F121" s="13" t="s">
        <v>897</v>
      </c>
      <c r="G121" s="2" t="s">
        <v>898</v>
      </c>
      <c r="H121" s="2" t="s">
        <v>889</v>
      </c>
      <c r="I121" s="13" t="s">
        <v>899</v>
      </c>
      <c r="J121" s="13" t="s">
        <v>896</v>
      </c>
      <c r="K121" s="2"/>
      <c r="L121" s="8" t="s">
        <v>6</v>
      </c>
      <c r="M121" s="2" t="s">
        <v>119</v>
      </c>
      <c r="N121" s="2"/>
      <c r="O121" s="2"/>
      <c r="P121" s="2"/>
      <c r="Q121" s="2"/>
    </row>
    <row r="122" spans="1:17" ht="60.75" customHeight="1" x14ac:dyDescent="0.25">
      <c r="A122" s="2" t="str">
        <f t="shared" si="1"/>
        <v>TC-FB-119</v>
      </c>
      <c r="B122" s="2" t="s">
        <v>138</v>
      </c>
      <c r="C122" s="2" t="s">
        <v>674</v>
      </c>
      <c r="D122" s="2" t="s">
        <v>906</v>
      </c>
      <c r="E122" s="2" t="s">
        <v>445</v>
      </c>
      <c r="F122" s="13" t="s">
        <v>907</v>
      </c>
      <c r="G122" s="2" t="s">
        <v>908</v>
      </c>
      <c r="H122" s="2" t="s">
        <v>909</v>
      </c>
      <c r="I122" s="13" t="s">
        <v>910</v>
      </c>
      <c r="J122" s="13" t="s">
        <v>911</v>
      </c>
      <c r="K122" s="2"/>
      <c r="L122" s="8" t="s">
        <v>6</v>
      </c>
      <c r="M122" s="2" t="s">
        <v>115</v>
      </c>
      <c r="N122" s="2"/>
      <c r="O122" s="2"/>
      <c r="P122" s="2"/>
      <c r="Q122" s="2"/>
    </row>
    <row r="123" spans="1:17" ht="60.75" customHeight="1" x14ac:dyDescent="0.25">
      <c r="A123" s="2" t="str">
        <f t="shared" si="1"/>
        <v>TC-FB-120</v>
      </c>
      <c r="B123" s="2" t="s">
        <v>138</v>
      </c>
      <c r="C123" s="2" t="s">
        <v>674</v>
      </c>
      <c r="D123" s="2" t="s">
        <v>730</v>
      </c>
      <c r="E123" s="2" t="s">
        <v>445</v>
      </c>
      <c r="F123" s="13" t="s">
        <v>913</v>
      </c>
      <c r="G123" s="2" t="s">
        <v>914</v>
      </c>
      <c r="H123" s="2" t="s">
        <v>915</v>
      </c>
      <c r="I123" s="13" t="s">
        <v>916</v>
      </c>
      <c r="J123" s="13" t="s">
        <v>917</v>
      </c>
      <c r="K123" s="2" t="s">
        <v>932</v>
      </c>
      <c r="L123" s="8" t="s">
        <v>7</v>
      </c>
      <c r="M123" s="2" t="s">
        <v>115</v>
      </c>
      <c r="N123" s="17" t="s">
        <v>936</v>
      </c>
      <c r="O123" s="2"/>
      <c r="P123" s="2"/>
      <c r="Q123" s="2"/>
    </row>
    <row r="124" spans="1:17" ht="60.75" customHeight="1" x14ac:dyDescent="0.25">
      <c r="A124" s="2" t="str">
        <f t="shared" si="1"/>
        <v>TC-FB-121</v>
      </c>
      <c r="B124" s="2" t="s">
        <v>138</v>
      </c>
      <c r="C124" s="2" t="s">
        <v>674</v>
      </c>
      <c r="D124" s="2" t="s">
        <v>58</v>
      </c>
      <c r="E124" s="2" t="s">
        <v>445</v>
      </c>
      <c r="F124" s="13" t="s">
        <v>864</v>
      </c>
      <c r="G124" s="2" t="s">
        <v>865</v>
      </c>
      <c r="H124" s="2" t="s">
        <v>889</v>
      </c>
      <c r="I124" s="13" t="s">
        <v>900</v>
      </c>
      <c r="J124" s="13" t="s">
        <v>901</v>
      </c>
      <c r="K124" s="2"/>
      <c r="L124" s="8" t="s">
        <v>6</v>
      </c>
      <c r="M124" s="2" t="s">
        <v>115</v>
      </c>
      <c r="N124" s="2"/>
      <c r="O124" s="2"/>
      <c r="P124" s="2"/>
      <c r="Q124" s="2"/>
    </row>
    <row r="125" spans="1:17" ht="60.75" customHeight="1" x14ac:dyDescent="0.25">
      <c r="A125" s="2" t="str">
        <f t="shared" si="1"/>
        <v>TC-FB-122</v>
      </c>
      <c r="B125" s="2" t="s">
        <v>138</v>
      </c>
      <c r="C125" s="2" t="s">
        <v>674</v>
      </c>
      <c r="D125" s="2" t="s">
        <v>555</v>
      </c>
      <c r="E125" s="2" t="s">
        <v>445</v>
      </c>
      <c r="F125" s="13" t="s">
        <v>902</v>
      </c>
      <c r="G125" s="2" t="s">
        <v>869</v>
      </c>
      <c r="H125" s="2" t="s">
        <v>903</v>
      </c>
      <c r="I125" s="13" t="s">
        <v>904</v>
      </c>
      <c r="J125" s="13" t="s">
        <v>905</v>
      </c>
      <c r="K125" s="2"/>
      <c r="L125" s="8" t="s">
        <v>6</v>
      </c>
      <c r="M125" s="2" t="s">
        <v>115</v>
      </c>
      <c r="N125" s="2"/>
      <c r="O125" s="2"/>
      <c r="P125" s="2"/>
      <c r="Q125" s="2"/>
    </row>
    <row r="126" spans="1:17" ht="60.75" customHeight="1" x14ac:dyDescent="0.25">
      <c r="A126" s="2" t="str">
        <f t="shared" si="1"/>
        <v>TC-FB-123</v>
      </c>
      <c r="B126" s="13" t="s">
        <v>139</v>
      </c>
      <c r="C126" s="2" t="s">
        <v>674</v>
      </c>
      <c r="D126" s="2" t="s">
        <v>372</v>
      </c>
      <c r="E126" s="2" t="s">
        <v>445</v>
      </c>
      <c r="F126" s="13" t="s">
        <v>866</v>
      </c>
      <c r="G126" s="2" t="s">
        <v>870</v>
      </c>
      <c r="H126" s="2" t="s">
        <v>871</v>
      </c>
      <c r="I126" s="13" t="s">
        <v>872</v>
      </c>
      <c r="J126" s="13" t="s">
        <v>918</v>
      </c>
      <c r="K126" s="2"/>
      <c r="L126" s="8" t="s">
        <v>6</v>
      </c>
      <c r="M126" s="2" t="s">
        <v>115</v>
      </c>
      <c r="N126" s="2"/>
      <c r="O126" s="2"/>
      <c r="P126" s="2"/>
      <c r="Q126" s="2"/>
    </row>
    <row r="127" spans="1:17" ht="60.75" customHeight="1" x14ac:dyDescent="0.25">
      <c r="A127" s="2" t="str">
        <f t="shared" si="1"/>
        <v>TC-FB-124</v>
      </c>
      <c r="B127" s="13" t="s">
        <v>139</v>
      </c>
      <c r="C127" s="2" t="s">
        <v>674</v>
      </c>
      <c r="D127" s="2" t="s">
        <v>372</v>
      </c>
      <c r="E127" s="2" t="s">
        <v>445</v>
      </c>
      <c r="F127" s="13" t="s">
        <v>867</v>
      </c>
      <c r="G127" s="2" t="s">
        <v>921</v>
      </c>
      <c r="H127" s="2" t="s">
        <v>873</v>
      </c>
      <c r="I127" s="13" t="s">
        <v>922</v>
      </c>
      <c r="J127" s="13" t="s">
        <v>919</v>
      </c>
      <c r="K127" s="2"/>
      <c r="L127" s="8" t="s">
        <v>6</v>
      </c>
      <c r="M127" s="2" t="s">
        <v>115</v>
      </c>
      <c r="N127" s="2"/>
      <c r="O127" s="2"/>
      <c r="P127" s="2"/>
      <c r="Q127" s="2"/>
    </row>
    <row r="128" spans="1:17" ht="60.75" customHeight="1" x14ac:dyDescent="0.25">
      <c r="A128" s="2" t="str">
        <f t="shared" si="1"/>
        <v>TC-FB-125</v>
      </c>
      <c r="B128" s="13" t="s">
        <v>139</v>
      </c>
      <c r="C128" s="2" t="s">
        <v>674</v>
      </c>
      <c r="D128" s="2" t="s">
        <v>551</v>
      </c>
      <c r="E128" s="2" t="s">
        <v>445</v>
      </c>
      <c r="F128" s="13" t="s">
        <v>874</v>
      </c>
      <c r="G128" s="2" t="s">
        <v>875</v>
      </c>
      <c r="H128" s="2" t="s">
        <v>876</v>
      </c>
      <c r="I128" s="13" t="s">
        <v>877</v>
      </c>
      <c r="J128" s="13" t="s">
        <v>878</v>
      </c>
      <c r="K128" s="2"/>
      <c r="L128" s="8" t="s">
        <v>6</v>
      </c>
      <c r="M128" s="2" t="s">
        <v>115</v>
      </c>
      <c r="N128" s="2"/>
      <c r="O128" s="2"/>
      <c r="P128" s="2"/>
      <c r="Q128" s="2"/>
    </row>
    <row r="129" spans="1:17" ht="60.75" customHeight="1" x14ac:dyDescent="0.25">
      <c r="A129" s="2" t="str">
        <f t="shared" ref="A129:A131" si="2">"TC-FB-"&amp;TEXT(ROW()-3,"000")</f>
        <v>TC-FB-126</v>
      </c>
      <c r="B129" s="13" t="s">
        <v>947</v>
      </c>
      <c r="C129" s="2" t="s">
        <v>674</v>
      </c>
      <c r="D129" s="2" t="s">
        <v>788</v>
      </c>
      <c r="E129" s="2" t="s">
        <v>285</v>
      </c>
      <c r="F129" s="13" t="s">
        <v>868</v>
      </c>
      <c r="G129" s="2" t="s">
        <v>879</v>
      </c>
      <c r="H129" s="2" t="s">
        <v>923</v>
      </c>
      <c r="I129" s="13" t="s">
        <v>924</v>
      </c>
      <c r="J129" s="13" t="s">
        <v>920</v>
      </c>
      <c r="K129" s="2"/>
      <c r="L129" s="8" t="s">
        <v>6</v>
      </c>
      <c r="M129" s="2" t="s">
        <v>115</v>
      </c>
      <c r="N129" s="2"/>
      <c r="O129" s="2"/>
      <c r="P129" s="2"/>
      <c r="Q129" s="2"/>
    </row>
    <row r="130" spans="1:17" ht="60.75" customHeight="1" x14ac:dyDescent="0.25">
      <c r="A130" s="2" t="str">
        <f t="shared" si="2"/>
        <v>TC-FB-127</v>
      </c>
      <c r="B130" s="13" t="s">
        <v>947</v>
      </c>
      <c r="C130" s="2" t="s">
        <v>674</v>
      </c>
      <c r="D130" s="2" t="s">
        <v>796</v>
      </c>
      <c r="E130" s="2" t="s">
        <v>285</v>
      </c>
      <c r="F130" s="13" t="s">
        <v>868</v>
      </c>
      <c r="G130" s="2" t="s">
        <v>879</v>
      </c>
      <c r="H130" s="2" t="s">
        <v>925</v>
      </c>
      <c r="I130" s="13" t="s">
        <v>930</v>
      </c>
      <c r="J130" s="13" t="s">
        <v>920</v>
      </c>
      <c r="K130" s="2" t="s">
        <v>926</v>
      </c>
      <c r="L130" s="8" t="s">
        <v>7</v>
      </c>
      <c r="M130" s="2" t="s">
        <v>115</v>
      </c>
      <c r="N130" s="17" t="s">
        <v>939</v>
      </c>
      <c r="O130" s="2"/>
      <c r="P130" s="2"/>
      <c r="Q130" s="2"/>
    </row>
    <row r="131" spans="1:17" ht="60.75" customHeight="1" x14ac:dyDescent="0.25">
      <c r="A131" s="2" t="str">
        <f t="shared" si="2"/>
        <v>TC-FB-128</v>
      </c>
      <c r="B131" s="13" t="s">
        <v>947</v>
      </c>
      <c r="C131" s="2" t="s">
        <v>674</v>
      </c>
      <c r="D131" s="2" t="s">
        <v>796</v>
      </c>
      <c r="E131" s="2" t="s">
        <v>285</v>
      </c>
      <c r="F131" s="13" t="s">
        <v>868</v>
      </c>
      <c r="G131" s="2" t="s">
        <v>927</v>
      </c>
      <c r="H131" s="2" t="s">
        <v>928</v>
      </c>
      <c r="I131" s="13" t="s">
        <v>929</v>
      </c>
      <c r="J131" s="13" t="s">
        <v>920</v>
      </c>
      <c r="K131" s="2" t="s">
        <v>931</v>
      </c>
      <c r="L131" s="8" t="s">
        <v>7</v>
      </c>
      <c r="M131" s="2" t="s">
        <v>115</v>
      </c>
      <c r="N131" s="17" t="s">
        <v>939</v>
      </c>
      <c r="O131" s="2"/>
      <c r="P131" s="2"/>
      <c r="Q131" s="2"/>
    </row>
    <row r="132" spans="1:17" ht="60.75" customHeight="1" x14ac:dyDescent="0.25">
      <c r="A132" s="2" t="str">
        <f t="shared" si="1"/>
        <v>TC-FB-129</v>
      </c>
      <c r="B132" s="13" t="s">
        <v>948</v>
      </c>
      <c r="C132" s="2" t="s">
        <v>674</v>
      </c>
      <c r="D132" s="2" t="s">
        <v>448</v>
      </c>
      <c r="E132" s="2" t="s">
        <v>271</v>
      </c>
      <c r="F132" s="13" t="s">
        <v>449</v>
      </c>
      <c r="G132" s="2" t="s">
        <v>785</v>
      </c>
      <c r="H132" s="2" t="s">
        <v>450</v>
      </c>
      <c r="I132" s="13" t="s">
        <v>451</v>
      </c>
      <c r="J132" s="13" t="s">
        <v>452</v>
      </c>
      <c r="K132" s="2"/>
      <c r="L132" s="8" t="s">
        <v>6</v>
      </c>
      <c r="M132" s="2" t="s">
        <v>119</v>
      </c>
      <c r="N132" s="2"/>
      <c r="O132" s="2"/>
      <c r="P132" s="2"/>
      <c r="Q132" s="2"/>
    </row>
    <row r="133" spans="1:17" ht="60.75" customHeight="1" x14ac:dyDescent="0.25">
      <c r="A133" s="2" t="str">
        <f t="shared" si="1"/>
        <v>TC-FB-130</v>
      </c>
      <c r="B133" s="13" t="s">
        <v>948</v>
      </c>
      <c r="C133" s="2" t="s">
        <v>674</v>
      </c>
      <c r="D133" s="2" t="s">
        <v>448</v>
      </c>
      <c r="E133" s="2" t="s">
        <v>271</v>
      </c>
      <c r="F133" s="13" t="s">
        <v>453</v>
      </c>
      <c r="G133" s="2" t="s">
        <v>785</v>
      </c>
      <c r="H133" s="2" t="s">
        <v>450</v>
      </c>
      <c r="I133" s="13" t="s">
        <v>454</v>
      </c>
      <c r="J133" s="13" t="s">
        <v>455</v>
      </c>
      <c r="K133" s="2"/>
      <c r="L133" s="8" t="s">
        <v>6</v>
      </c>
      <c r="M133" s="2" t="s">
        <v>119</v>
      </c>
      <c r="N133" s="2"/>
      <c r="O133" s="2"/>
      <c r="P133" s="2"/>
      <c r="Q133" s="2"/>
    </row>
    <row r="134" spans="1:17" ht="60.75" customHeight="1" x14ac:dyDescent="0.25">
      <c r="A134" s="2" t="str">
        <f t="shared" si="1"/>
        <v>TC-FB-131</v>
      </c>
      <c r="B134" s="13" t="s">
        <v>948</v>
      </c>
      <c r="C134" s="2" t="s">
        <v>674</v>
      </c>
      <c r="D134" s="2" t="s">
        <v>448</v>
      </c>
      <c r="E134" s="2" t="s">
        <v>271</v>
      </c>
      <c r="F134" s="13" t="s">
        <v>456</v>
      </c>
      <c r="G134" s="2" t="s">
        <v>785</v>
      </c>
      <c r="H134" s="2" t="s">
        <v>457</v>
      </c>
      <c r="I134" s="13" t="s">
        <v>458</v>
      </c>
      <c r="J134" s="13" t="s">
        <v>459</v>
      </c>
      <c r="K134" s="2"/>
      <c r="L134" s="8" t="s">
        <v>6</v>
      </c>
      <c r="M134" s="2" t="s">
        <v>119</v>
      </c>
      <c r="N134" s="2"/>
      <c r="O134" s="2"/>
      <c r="P134" s="2"/>
      <c r="Q134" s="2"/>
    </row>
    <row r="135" spans="1:17" ht="60.75" customHeight="1" x14ac:dyDescent="0.25">
      <c r="A135" s="2" t="str">
        <f>"TC-FB-"&amp;TEXT(ROW()-3,"000")</f>
        <v>TC-FB-132</v>
      </c>
      <c r="B135" s="13" t="s">
        <v>948</v>
      </c>
      <c r="C135" s="2" t="s">
        <v>674</v>
      </c>
      <c r="D135" s="2" t="s">
        <v>448</v>
      </c>
      <c r="E135" s="2" t="s">
        <v>271</v>
      </c>
      <c r="F135" s="13" t="s">
        <v>460</v>
      </c>
      <c r="G135" s="2" t="s">
        <v>787</v>
      </c>
      <c r="H135" s="2" t="s">
        <v>192</v>
      </c>
      <c r="I135" s="13" t="s">
        <v>461</v>
      </c>
      <c r="J135" s="13" t="s">
        <v>462</v>
      </c>
      <c r="K135" s="2"/>
      <c r="L135" s="8" t="s">
        <v>6</v>
      </c>
      <c r="M135" s="2" t="s">
        <v>115</v>
      </c>
      <c r="N135" s="2"/>
      <c r="O135" s="2"/>
      <c r="P135" s="2"/>
      <c r="Q135" s="2"/>
    </row>
    <row r="136" spans="1:17" ht="60.75" customHeight="1" x14ac:dyDescent="0.25">
      <c r="A136" s="2" t="str">
        <f>"TC-FB-"&amp;TEXT(ROW()-3,"000")</f>
        <v>TC-FB-133</v>
      </c>
      <c r="B136" s="13" t="s">
        <v>948</v>
      </c>
      <c r="C136" s="2" t="s">
        <v>674</v>
      </c>
      <c r="D136" s="2" t="s">
        <v>448</v>
      </c>
      <c r="E136" s="2" t="s">
        <v>190</v>
      </c>
      <c r="F136" s="13" t="s">
        <v>463</v>
      </c>
      <c r="G136" s="2" t="s">
        <v>786</v>
      </c>
      <c r="H136" s="2" t="s">
        <v>464</v>
      </c>
      <c r="I136" s="13" t="s">
        <v>465</v>
      </c>
      <c r="J136" s="13" t="s">
        <v>466</v>
      </c>
      <c r="K136" s="2"/>
      <c r="L136" s="8" t="s">
        <v>6</v>
      </c>
      <c r="M136" s="2" t="s">
        <v>195</v>
      </c>
      <c r="N136" s="2"/>
      <c r="O136" s="2"/>
      <c r="P136" s="2"/>
      <c r="Q136" s="2"/>
    </row>
    <row r="137" spans="1:17" x14ac:dyDescent="0.25">
      <c r="A137" s="2"/>
      <c r="B137" s="2"/>
      <c r="C137" s="2"/>
      <c r="D137" s="2"/>
      <c r="E137" s="2"/>
      <c r="F137" s="13"/>
      <c r="G137" s="2"/>
      <c r="H137" s="2"/>
      <c r="I137" s="13"/>
      <c r="J137" s="13"/>
      <c r="K137" s="2"/>
      <c r="L137" s="8"/>
      <c r="M137" s="2"/>
      <c r="N137" s="2"/>
      <c r="O137" s="2"/>
      <c r="P137" s="2"/>
      <c r="Q137" s="2"/>
    </row>
    <row r="138" spans="1:17" x14ac:dyDescent="0.25">
      <c r="A138" s="2"/>
      <c r="B138" s="2"/>
      <c r="C138" s="2"/>
      <c r="D138" s="2"/>
      <c r="E138" s="2"/>
      <c r="F138" s="13"/>
      <c r="G138" s="2"/>
      <c r="H138" s="2"/>
      <c r="I138" s="13"/>
      <c r="J138" s="13"/>
      <c r="K138" s="2"/>
      <c r="L138" s="8"/>
      <c r="M138" s="2"/>
      <c r="N138" s="2"/>
      <c r="O138" s="2"/>
      <c r="P138" s="2"/>
      <c r="Q138" s="2"/>
    </row>
    <row r="139" spans="1:17" x14ac:dyDescent="0.25">
      <c r="A139" s="2"/>
      <c r="B139" s="2"/>
      <c r="C139" s="2"/>
      <c r="D139" s="2"/>
      <c r="E139" s="2"/>
      <c r="F139" s="13"/>
      <c r="G139" s="2"/>
      <c r="H139" s="2"/>
      <c r="I139" s="13"/>
      <c r="J139" s="13"/>
      <c r="K139" s="2"/>
      <c r="L139" s="8"/>
      <c r="M139" s="2"/>
      <c r="N139" s="2"/>
      <c r="O139" s="2"/>
      <c r="P139" s="2"/>
      <c r="Q139" s="2"/>
    </row>
    <row r="140" spans="1:17" x14ac:dyDescent="0.25">
      <c r="A140" s="2"/>
      <c r="B140" s="2"/>
      <c r="C140" s="2"/>
      <c r="D140" s="2"/>
      <c r="E140" s="2"/>
      <c r="F140" s="13"/>
      <c r="G140" s="2"/>
      <c r="H140" s="2"/>
      <c r="I140" s="13"/>
      <c r="J140" s="13"/>
      <c r="K140" s="2"/>
      <c r="L140" s="8"/>
      <c r="M140" s="2"/>
      <c r="N140" s="2"/>
      <c r="O140" s="2"/>
      <c r="P140" s="2"/>
      <c r="Q140" s="2"/>
    </row>
    <row r="141" spans="1:17" x14ac:dyDescent="0.25">
      <c r="A141" s="2"/>
      <c r="B141" s="2"/>
      <c r="C141" s="2"/>
      <c r="D141" s="2"/>
      <c r="E141" s="2"/>
      <c r="F141" s="13"/>
      <c r="G141" s="2"/>
      <c r="H141" s="2"/>
      <c r="I141" s="13"/>
      <c r="J141" s="13"/>
      <c r="K141" s="2"/>
      <c r="L141" s="8"/>
      <c r="M141" s="2"/>
      <c r="N141" s="2"/>
      <c r="O141" s="2"/>
      <c r="P141" s="2"/>
      <c r="Q141" s="2"/>
    </row>
    <row r="142" spans="1:17" x14ac:dyDescent="0.25">
      <c r="A142" s="2"/>
      <c r="B142" s="2"/>
      <c r="C142" s="2"/>
      <c r="D142" s="2"/>
      <c r="E142" s="2"/>
      <c r="F142" s="13"/>
      <c r="G142" s="2"/>
      <c r="H142" s="2"/>
      <c r="I142" s="13"/>
      <c r="J142" s="13"/>
      <c r="K142" s="2"/>
      <c r="L142" s="8"/>
      <c r="M142" s="2"/>
      <c r="N142" s="2"/>
      <c r="O142" s="2"/>
      <c r="P142" s="2"/>
      <c r="Q142" s="2"/>
    </row>
    <row r="143" spans="1:17" x14ac:dyDescent="0.25">
      <c r="A143" s="2"/>
      <c r="B143" s="2"/>
      <c r="C143" s="2"/>
      <c r="D143" s="2"/>
      <c r="E143" s="2"/>
      <c r="F143" s="13"/>
      <c r="G143" s="2"/>
      <c r="H143" s="2"/>
      <c r="I143" s="13"/>
      <c r="J143" s="13"/>
      <c r="K143" s="2"/>
      <c r="L143" s="8"/>
      <c r="M143" s="2"/>
      <c r="N143" s="2"/>
      <c r="O143" s="2"/>
      <c r="P143" s="2"/>
      <c r="Q143" s="2"/>
    </row>
    <row r="144" spans="1:17" x14ac:dyDescent="0.25">
      <c r="A144" s="2"/>
      <c r="B144" s="2"/>
      <c r="C144" s="2"/>
      <c r="D144" s="2"/>
      <c r="E144" s="2"/>
      <c r="F144" s="13"/>
      <c r="G144" s="2"/>
      <c r="H144" s="2"/>
      <c r="I144" s="13"/>
      <c r="J144" s="13"/>
      <c r="K144" s="2"/>
      <c r="L144" s="8"/>
      <c r="M144" s="2"/>
      <c r="N144" s="2"/>
      <c r="O144" s="2"/>
      <c r="P144" s="2"/>
      <c r="Q144" s="2"/>
    </row>
    <row r="145" spans="1:17" x14ac:dyDescent="0.25">
      <c r="A145" s="2"/>
      <c r="B145" s="2"/>
      <c r="C145" s="2"/>
      <c r="D145" s="2"/>
      <c r="E145" s="2"/>
      <c r="F145" s="13"/>
      <c r="G145" s="2"/>
      <c r="H145" s="2"/>
      <c r="I145" s="13"/>
      <c r="J145" s="13"/>
      <c r="K145" s="2"/>
      <c r="L145" s="8"/>
      <c r="M145" s="2"/>
      <c r="N145" s="2"/>
      <c r="O145" s="2"/>
      <c r="P145" s="2"/>
      <c r="Q145" s="2"/>
    </row>
    <row r="146" spans="1:17" x14ac:dyDescent="0.25">
      <c r="A146" s="2"/>
      <c r="B146" s="2"/>
      <c r="C146" s="2"/>
      <c r="D146" s="2"/>
      <c r="E146" s="2"/>
      <c r="F146" s="13"/>
      <c r="G146" s="2"/>
      <c r="H146" s="2"/>
      <c r="I146" s="13"/>
      <c r="J146" s="13"/>
      <c r="K146" s="2"/>
      <c r="L146" s="8"/>
      <c r="M146" s="2"/>
      <c r="N146" s="2"/>
      <c r="O146" s="2"/>
      <c r="P146" s="2"/>
      <c r="Q146" s="2"/>
    </row>
    <row r="147" spans="1:17" x14ac:dyDescent="0.25">
      <c r="A147" s="2"/>
      <c r="B147" s="2"/>
      <c r="C147" s="2"/>
      <c r="D147" s="2"/>
      <c r="E147" s="2"/>
      <c r="F147" s="13"/>
      <c r="G147" s="2"/>
      <c r="H147" s="2"/>
      <c r="I147" s="13"/>
      <c r="J147" s="13"/>
      <c r="K147" s="2"/>
      <c r="L147" s="8"/>
      <c r="M147" s="2"/>
      <c r="N147" s="2"/>
      <c r="O147" s="2"/>
      <c r="P147" s="2"/>
      <c r="Q147" s="2"/>
    </row>
    <row r="148" spans="1:17" x14ac:dyDescent="0.25">
      <c r="A148" s="2"/>
      <c r="B148" s="2"/>
      <c r="C148" s="2"/>
      <c r="D148" s="2"/>
      <c r="E148" s="2"/>
      <c r="F148" s="13"/>
      <c r="G148" s="2"/>
      <c r="H148" s="2"/>
      <c r="I148" s="13"/>
      <c r="J148" s="13"/>
      <c r="K148" s="2"/>
      <c r="L148" s="8"/>
      <c r="M148" s="2"/>
      <c r="N148" s="2"/>
      <c r="O148" s="2"/>
      <c r="P148" s="2"/>
      <c r="Q148" s="2"/>
    </row>
    <row r="149" spans="1:17" x14ac:dyDescent="0.25">
      <c r="A149" s="2"/>
      <c r="B149" s="2"/>
      <c r="C149" s="2"/>
      <c r="D149" s="2"/>
      <c r="E149" s="2"/>
      <c r="F149" s="13"/>
      <c r="G149" s="2"/>
      <c r="H149" s="2"/>
      <c r="I149" s="13"/>
      <c r="J149" s="13"/>
      <c r="K149" s="2"/>
      <c r="L149" s="8"/>
      <c r="M149" s="2"/>
      <c r="N149" s="2"/>
      <c r="O149" s="2"/>
      <c r="P149" s="2"/>
      <c r="Q149" s="2"/>
    </row>
    <row r="150" spans="1:17" x14ac:dyDescent="0.25">
      <c r="A150" s="2"/>
      <c r="B150" s="2"/>
      <c r="C150" s="2"/>
      <c r="D150" s="2"/>
      <c r="E150" s="2"/>
      <c r="F150" s="13"/>
      <c r="G150" s="2"/>
      <c r="H150" s="2"/>
      <c r="I150" s="13"/>
      <c r="J150" s="13"/>
      <c r="K150" s="2"/>
      <c r="L150" s="8"/>
      <c r="M150" s="2"/>
      <c r="N150" s="2"/>
      <c r="O150" s="2"/>
      <c r="P150" s="2"/>
      <c r="Q150" s="2"/>
    </row>
    <row r="151" spans="1:17" x14ac:dyDescent="0.25">
      <c r="A151" s="2"/>
      <c r="B151" s="2"/>
      <c r="C151" s="2"/>
      <c r="D151" s="2"/>
      <c r="E151" s="2"/>
      <c r="F151" s="13"/>
      <c r="G151" s="2"/>
      <c r="H151" s="2"/>
      <c r="I151" s="13"/>
      <c r="J151" s="13"/>
      <c r="K151" s="2"/>
      <c r="L151" s="8"/>
      <c r="M151" s="2"/>
      <c r="N151" s="2"/>
      <c r="O151" s="2"/>
      <c r="P151" s="2"/>
      <c r="Q151" s="2"/>
    </row>
    <row r="152" spans="1:17" x14ac:dyDescent="0.25">
      <c r="A152" s="2"/>
      <c r="B152" s="2"/>
      <c r="C152" s="2"/>
      <c r="D152" s="2"/>
      <c r="E152" s="2"/>
      <c r="F152" s="13"/>
      <c r="G152" s="2"/>
      <c r="H152" s="2"/>
      <c r="I152" s="13"/>
      <c r="J152" s="13"/>
      <c r="K152" s="2"/>
      <c r="L152" s="8"/>
      <c r="M152" s="2"/>
      <c r="N152" s="2"/>
      <c r="O152" s="2"/>
      <c r="P152" s="2"/>
      <c r="Q152" s="2"/>
    </row>
    <row r="153" spans="1:17" x14ac:dyDescent="0.25">
      <c r="A153" s="2"/>
      <c r="B153" s="2"/>
      <c r="C153" s="2"/>
      <c r="D153" s="2"/>
      <c r="E153" s="2"/>
      <c r="F153" s="13"/>
      <c r="G153" s="2"/>
      <c r="H153" s="2"/>
      <c r="I153" s="13"/>
      <c r="J153" s="13"/>
      <c r="K153" s="2"/>
      <c r="L153" s="8"/>
      <c r="M153" s="2"/>
      <c r="N153" s="2"/>
      <c r="O153" s="2"/>
      <c r="P153" s="2"/>
      <c r="Q153" s="2"/>
    </row>
    <row r="154" spans="1:17" x14ac:dyDescent="0.25">
      <c r="A154" s="2"/>
      <c r="B154" s="2"/>
      <c r="C154" s="2"/>
      <c r="D154" s="2"/>
      <c r="E154" s="2"/>
      <c r="F154" s="13"/>
      <c r="G154" s="2"/>
      <c r="H154" s="2"/>
      <c r="I154" s="13"/>
      <c r="J154" s="13"/>
      <c r="K154" s="2"/>
      <c r="L154" s="8"/>
      <c r="M154" s="2"/>
      <c r="N154" s="2"/>
      <c r="O154" s="2"/>
      <c r="P154" s="2"/>
      <c r="Q154" s="2"/>
    </row>
    <row r="155" spans="1:17" x14ac:dyDescent="0.25">
      <c r="A155" s="2"/>
      <c r="B155" s="2"/>
      <c r="C155" s="2"/>
      <c r="D155" s="2"/>
      <c r="E155" s="2"/>
      <c r="F155" s="13"/>
      <c r="G155" s="2"/>
      <c r="H155" s="2"/>
      <c r="I155" s="13"/>
      <c r="J155" s="13"/>
      <c r="K155" s="2"/>
      <c r="L155" s="8"/>
      <c r="M155" s="2"/>
      <c r="N155" s="2"/>
      <c r="O155" s="2"/>
      <c r="P155" s="2"/>
      <c r="Q155" s="2"/>
    </row>
    <row r="156" spans="1:17" x14ac:dyDescent="0.25">
      <c r="A156" s="2"/>
      <c r="B156" s="2"/>
      <c r="C156" s="2"/>
      <c r="D156" s="2"/>
      <c r="E156" s="2"/>
      <c r="F156" s="13"/>
      <c r="G156" s="2"/>
      <c r="H156" s="2"/>
      <c r="I156" s="13"/>
      <c r="J156" s="13"/>
      <c r="K156" s="2"/>
      <c r="L156" s="8"/>
      <c r="M156" s="2"/>
      <c r="N156" s="2"/>
      <c r="O156" s="2"/>
      <c r="P156" s="2"/>
      <c r="Q156" s="2"/>
    </row>
    <row r="157" spans="1:17" x14ac:dyDescent="0.25">
      <c r="A157" s="2"/>
      <c r="B157" s="2"/>
      <c r="C157" s="2"/>
      <c r="D157" s="2"/>
      <c r="E157" s="2"/>
      <c r="F157" s="13"/>
      <c r="G157" s="2"/>
      <c r="H157" s="2"/>
      <c r="I157" s="13"/>
      <c r="J157" s="13"/>
      <c r="K157" s="2"/>
      <c r="L157" s="8"/>
      <c r="M157" s="2"/>
      <c r="N157" s="2"/>
      <c r="O157" s="2"/>
      <c r="P157" s="2"/>
      <c r="Q157" s="2"/>
    </row>
    <row r="158" spans="1:17" x14ac:dyDescent="0.25">
      <c r="A158" s="2"/>
      <c r="B158" s="2"/>
      <c r="C158" s="2"/>
      <c r="D158" s="2"/>
      <c r="E158" s="2"/>
      <c r="F158" s="13"/>
      <c r="G158" s="2"/>
      <c r="H158" s="2"/>
      <c r="I158" s="13"/>
      <c r="J158" s="13"/>
      <c r="K158" s="2"/>
      <c r="L158" s="8"/>
      <c r="M158" s="2"/>
      <c r="N158" s="2"/>
      <c r="O158" s="2"/>
      <c r="P158" s="2"/>
      <c r="Q158" s="2"/>
    </row>
    <row r="159" spans="1:17" x14ac:dyDescent="0.25">
      <c r="A159" s="2"/>
      <c r="B159" s="2"/>
      <c r="C159" s="2"/>
      <c r="D159" s="2"/>
      <c r="E159" s="2"/>
      <c r="F159" s="13"/>
      <c r="G159" s="2"/>
      <c r="H159" s="2"/>
      <c r="I159" s="13"/>
      <c r="J159" s="13"/>
      <c r="K159" s="2"/>
      <c r="L159" s="8"/>
      <c r="M159" s="2"/>
      <c r="N159" s="2"/>
      <c r="O159" s="2"/>
      <c r="P159" s="2"/>
      <c r="Q159" s="2"/>
    </row>
    <row r="160" spans="1:17" x14ac:dyDescent="0.25">
      <c r="A160" s="2"/>
      <c r="B160" s="2"/>
      <c r="C160" s="2"/>
      <c r="D160" s="2"/>
      <c r="E160" s="2"/>
      <c r="F160" s="13"/>
      <c r="G160" s="2"/>
      <c r="H160" s="2"/>
      <c r="I160" s="13"/>
      <c r="J160" s="13"/>
      <c r="K160" s="2"/>
      <c r="L160" s="8"/>
      <c r="M160" s="2"/>
      <c r="N160" s="2"/>
      <c r="O160" s="2"/>
      <c r="P160" s="2"/>
      <c r="Q160" s="2"/>
    </row>
    <row r="161" spans="1:17" x14ac:dyDescent="0.25">
      <c r="A161" s="2"/>
      <c r="B161" s="2"/>
      <c r="C161" s="2"/>
      <c r="D161" s="2"/>
      <c r="E161" s="2"/>
      <c r="F161" s="13"/>
      <c r="G161" s="2"/>
      <c r="H161" s="2"/>
      <c r="I161" s="13"/>
      <c r="J161" s="13"/>
      <c r="K161" s="2"/>
      <c r="L161" s="8"/>
      <c r="M161" s="2"/>
      <c r="N161" s="2"/>
      <c r="O161" s="2"/>
      <c r="P161" s="2"/>
      <c r="Q161" s="2"/>
    </row>
    <row r="162" spans="1:17" x14ac:dyDescent="0.25">
      <c r="A162" s="2"/>
      <c r="B162" s="2"/>
      <c r="C162" s="2"/>
      <c r="D162" s="2"/>
      <c r="E162" s="2"/>
      <c r="F162" s="13"/>
      <c r="G162" s="2"/>
      <c r="H162" s="2"/>
      <c r="I162" s="13"/>
      <c r="J162" s="13"/>
      <c r="K162" s="2"/>
      <c r="L162" s="8"/>
      <c r="M162" s="2"/>
      <c r="N162" s="2"/>
      <c r="O162" s="2"/>
      <c r="P162" s="2"/>
      <c r="Q162" s="2"/>
    </row>
    <row r="163" spans="1:17" x14ac:dyDescent="0.25">
      <c r="A163" s="2"/>
      <c r="B163" s="2"/>
      <c r="C163" s="2"/>
      <c r="D163" s="2"/>
      <c r="E163" s="2"/>
      <c r="F163" s="13"/>
      <c r="G163" s="2"/>
      <c r="H163" s="2"/>
      <c r="I163" s="13"/>
      <c r="J163" s="13"/>
      <c r="K163" s="2"/>
      <c r="L163" s="8"/>
      <c r="M163" s="2"/>
      <c r="N163" s="2"/>
      <c r="O163" s="2"/>
      <c r="P163" s="2"/>
      <c r="Q163" s="2"/>
    </row>
    <row r="164" spans="1:17" x14ac:dyDescent="0.25">
      <c r="A164" s="2"/>
      <c r="B164" s="2"/>
      <c r="C164" s="2"/>
      <c r="D164" s="2"/>
      <c r="E164" s="2"/>
      <c r="F164" s="13"/>
      <c r="G164" s="2"/>
      <c r="H164" s="2"/>
      <c r="I164" s="13"/>
      <c r="J164" s="13"/>
      <c r="K164" s="2"/>
      <c r="L164" s="8"/>
      <c r="M164" s="2"/>
      <c r="N164" s="2"/>
      <c r="O164" s="2"/>
      <c r="P164" s="2"/>
      <c r="Q164" s="2"/>
    </row>
    <row r="165" spans="1:17" x14ac:dyDescent="0.25">
      <c r="A165" s="2"/>
      <c r="B165" s="2"/>
      <c r="C165" s="2"/>
      <c r="D165" s="2"/>
      <c r="E165" s="2"/>
      <c r="F165" s="13"/>
      <c r="G165" s="2"/>
      <c r="H165" s="2"/>
      <c r="I165" s="13"/>
      <c r="J165" s="13"/>
      <c r="K165" s="2"/>
      <c r="L165" s="8"/>
      <c r="M165" s="2"/>
      <c r="N165" s="2"/>
      <c r="O165" s="2"/>
      <c r="P165" s="2"/>
      <c r="Q165" s="2"/>
    </row>
    <row r="166" spans="1:17" x14ac:dyDescent="0.25">
      <c r="A166" s="2"/>
      <c r="B166" s="2"/>
      <c r="C166" s="2"/>
      <c r="D166" s="2"/>
      <c r="E166" s="2"/>
      <c r="F166" s="13"/>
      <c r="G166" s="2"/>
      <c r="H166" s="2"/>
      <c r="I166" s="13"/>
      <c r="J166" s="13"/>
      <c r="K166" s="2"/>
      <c r="L166" s="8"/>
      <c r="M166" s="2"/>
      <c r="N166" s="2"/>
      <c r="O166" s="2"/>
      <c r="P166" s="2"/>
      <c r="Q166" s="2"/>
    </row>
    <row r="167" spans="1:17" x14ac:dyDescent="0.25">
      <c r="A167" s="2"/>
      <c r="B167" s="2"/>
      <c r="C167" s="2"/>
      <c r="D167" s="2"/>
      <c r="E167" s="2"/>
      <c r="F167" s="13"/>
      <c r="G167" s="2"/>
      <c r="H167" s="2"/>
      <c r="I167" s="13"/>
      <c r="J167" s="13"/>
      <c r="K167" s="2"/>
      <c r="L167" s="8"/>
      <c r="M167" s="2"/>
      <c r="N167" s="2"/>
      <c r="O167" s="2"/>
      <c r="P167" s="2"/>
      <c r="Q167" s="2"/>
    </row>
    <row r="168" spans="1:17" x14ac:dyDescent="0.25">
      <c r="A168" s="2"/>
      <c r="B168" s="2"/>
      <c r="C168" s="2"/>
      <c r="D168" s="2"/>
      <c r="E168" s="2"/>
      <c r="F168" s="13"/>
      <c r="G168" s="2"/>
      <c r="H168" s="2"/>
      <c r="I168" s="13"/>
      <c r="J168" s="13"/>
      <c r="K168" s="2"/>
      <c r="L168" s="8"/>
      <c r="M168" s="2"/>
      <c r="N168" s="2"/>
      <c r="O168" s="2"/>
      <c r="P168" s="2"/>
      <c r="Q168" s="2"/>
    </row>
    <row r="169" spans="1:17" x14ac:dyDescent="0.25">
      <c r="A169" s="2"/>
      <c r="B169" s="2"/>
      <c r="C169" s="2"/>
      <c r="D169" s="2"/>
      <c r="E169" s="2"/>
      <c r="F169" s="13"/>
      <c r="G169" s="2"/>
      <c r="H169" s="2"/>
      <c r="I169" s="13"/>
      <c r="J169" s="13"/>
      <c r="K169" s="2"/>
      <c r="L169" s="8"/>
      <c r="M169" s="2"/>
      <c r="N169" s="2"/>
      <c r="O169" s="2"/>
      <c r="P169" s="2"/>
      <c r="Q169" s="2"/>
    </row>
    <row r="170" spans="1:17" x14ac:dyDescent="0.25">
      <c r="A170" s="2"/>
      <c r="B170" s="2"/>
      <c r="C170" s="2"/>
      <c r="D170" s="2"/>
      <c r="E170" s="2"/>
      <c r="F170" s="13"/>
      <c r="G170" s="2"/>
      <c r="H170" s="2"/>
      <c r="I170" s="13"/>
      <c r="J170" s="13"/>
      <c r="K170" s="2"/>
      <c r="L170" s="8"/>
      <c r="M170" s="2"/>
      <c r="N170" s="2"/>
      <c r="O170" s="2"/>
      <c r="P170" s="2"/>
      <c r="Q170" s="2"/>
    </row>
    <row r="171" spans="1:17" x14ac:dyDescent="0.25">
      <c r="A171" s="2"/>
      <c r="B171" s="2"/>
      <c r="C171" s="2"/>
      <c r="D171" s="2"/>
      <c r="E171" s="2"/>
      <c r="F171" s="13"/>
      <c r="G171" s="2"/>
      <c r="H171" s="2"/>
      <c r="I171" s="13"/>
      <c r="J171" s="13"/>
      <c r="K171" s="2"/>
      <c r="L171" s="8"/>
      <c r="M171" s="2"/>
      <c r="N171" s="2"/>
      <c r="O171" s="2"/>
      <c r="P171" s="2"/>
      <c r="Q171" s="2"/>
    </row>
    <row r="172" spans="1:17" x14ac:dyDescent="0.25">
      <c r="A172" s="2"/>
      <c r="B172" s="2"/>
      <c r="C172" s="2"/>
      <c r="D172" s="2"/>
      <c r="E172" s="2"/>
      <c r="F172" s="13"/>
      <c r="G172" s="2"/>
      <c r="H172" s="2"/>
      <c r="I172" s="13"/>
      <c r="J172" s="13"/>
      <c r="K172" s="2"/>
      <c r="L172" s="8"/>
      <c r="M172" s="2"/>
      <c r="N172" s="2"/>
      <c r="O172" s="2"/>
      <c r="P172" s="2"/>
      <c r="Q172" s="2"/>
    </row>
    <row r="173" spans="1:17" x14ac:dyDescent="0.25">
      <c r="A173" s="2"/>
      <c r="B173" s="2"/>
      <c r="C173" s="2"/>
      <c r="D173" s="2"/>
      <c r="E173" s="2"/>
      <c r="F173" s="13"/>
      <c r="G173" s="2"/>
      <c r="H173" s="2"/>
      <c r="I173" s="13"/>
      <c r="J173" s="13"/>
      <c r="K173" s="2"/>
      <c r="L173" s="8"/>
      <c r="M173" s="2"/>
      <c r="N173" s="2"/>
      <c r="O173" s="2"/>
      <c r="P173" s="2"/>
      <c r="Q173" s="2"/>
    </row>
    <row r="174" spans="1:17" x14ac:dyDescent="0.25">
      <c r="A174" s="2"/>
      <c r="B174" s="2"/>
      <c r="C174" s="2"/>
      <c r="D174" s="2"/>
      <c r="E174" s="2"/>
      <c r="F174" s="13"/>
      <c r="G174" s="2"/>
      <c r="H174" s="2"/>
      <c r="I174" s="13"/>
      <c r="J174" s="13"/>
      <c r="K174" s="2"/>
      <c r="L174" s="8"/>
      <c r="M174" s="2"/>
      <c r="N174" s="2"/>
      <c r="O174" s="2"/>
      <c r="P174" s="2"/>
      <c r="Q174" s="2"/>
    </row>
    <row r="175" spans="1:17" x14ac:dyDescent="0.25">
      <c r="A175" s="2"/>
      <c r="B175" s="2"/>
      <c r="C175" s="2"/>
      <c r="D175" s="2"/>
      <c r="E175" s="2"/>
      <c r="F175" s="13"/>
      <c r="G175" s="2"/>
      <c r="H175" s="2"/>
      <c r="I175" s="13"/>
      <c r="J175" s="13"/>
      <c r="K175" s="2"/>
      <c r="L175" s="8"/>
      <c r="M175" s="2"/>
      <c r="N175" s="2"/>
      <c r="O175" s="2"/>
      <c r="P175" s="2"/>
      <c r="Q175" s="2"/>
    </row>
    <row r="176" spans="1:17" x14ac:dyDescent="0.25">
      <c r="A176" s="2"/>
      <c r="B176" s="2"/>
      <c r="C176" s="2"/>
      <c r="D176" s="2"/>
      <c r="E176" s="2"/>
      <c r="F176" s="13"/>
      <c r="G176" s="2"/>
      <c r="H176" s="2"/>
      <c r="I176" s="13"/>
      <c r="J176" s="13"/>
      <c r="K176" s="2"/>
      <c r="L176" s="8"/>
      <c r="M176" s="2"/>
      <c r="N176" s="2"/>
      <c r="O176" s="2"/>
      <c r="P176" s="2"/>
      <c r="Q176" s="2"/>
    </row>
    <row r="177" spans="1:17" x14ac:dyDescent="0.25">
      <c r="A177" s="2"/>
      <c r="B177" s="2"/>
      <c r="C177" s="2"/>
      <c r="D177" s="2"/>
      <c r="E177" s="2"/>
      <c r="F177" s="13"/>
      <c r="G177" s="2"/>
      <c r="H177" s="2"/>
      <c r="I177" s="13"/>
      <c r="J177" s="13"/>
      <c r="K177" s="2"/>
      <c r="L177" s="8"/>
      <c r="M177" s="2"/>
      <c r="N177" s="2"/>
      <c r="O177" s="2"/>
      <c r="P177" s="2"/>
      <c r="Q177" s="2"/>
    </row>
    <row r="178" spans="1:17" x14ac:dyDescent="0.25">
      <c r="A178" s="2"/>
      <c r="B178" s="2"/>
      <c r="C178" s="2"/>
      <c r="D178" s="2"/>
      <c r="E178" s="2"/>
      <c r="F178" s="13"/>
      <c r="G178" s="2"/>
      <c r="H178" s="2"/>
      <c r="I178" s="13"/>
      <c r="J178" s="13"/>
      <c r="K178" s="2"/>
      <c r="L178" s="8"/>
      <c r="M178" s="2"/>
      <c r="N178" s="2"/>
      <c r="O178" s="2"/>
      <c r="P178" s="2"/>
      <c r="Q178" s="2"/>
    </row>
    <row r="179" spans="1:17" x14ac:dyDescent="0.25">
      <c r="A179" s="2"/>
      <c r="B179" s="2"/>
      <c r="C179" s="2"/>
      <c r="D179" s="2"/>
      <c r="E179" s="2"/>
      <c r="F179" s="13"/>
      <c r="G179" s="2"/>
      <c r="H179" s="2"/>
      <c r="I179" s="13"/>
      <c r="J179" s="13"/>
      <c r="K179" s="2"/>
      <c r="L179" s="8"/>
      <c r="M179" s="2"/>
      <c r="N179" s="2"/>
      <c r="O179" s="2"/>
      <c r="P179" s="2"/>
      <c r="Q179" s="2"/>
    </row>
    <row r="180" spans="1:17" x14ac:dyDescent="0.25">
      <c r="A180" s="2"/>
      <c r="B180" s="2"/>
      <c r="C180" s="2"/>
      <c r="D180" s="2"/>
      <c r="E180" s="2"/>
      <c r="F180" s="13"/>
      <c r="G180" s="2"/>
      <c r="H180" s="2"/>
      <c r="I180" s="13"/>
      <c r="J180" s="13"/>
      <c r="K180" s="2"/>
      <c r="L180" s="8"/>
      <c r="M180" s="2"/>
      <c r="N180" s="2"/>
      <c r="O180" s="2"/>
      <c r="P180" s="2"/>
      <c r="Q180" s="2"/>
    </row>
    <row r="181" spans="1:17" x14ac:dyDescent="0.25">
      <c r="A181" s="2"/>
      <c r="B181" s="2"/>
      <c r="C181" s="2"/>
      <c r="D181" s="2"/>
      <c r="E181" s="2"/>
      <c r="F181" s="13"/>
      <c r="G181" s="2"/>
      <c r="H181" s="2"/>
      <c r="I181" s="13"/>
      <c r="J181" s="13"/>
      <c r="K181" s="2"/>
      <c r="L181" s="8"/>
      <c r="M181" s="2"/>
      <c r="N181" s="2"/>
      <c r="O181" s="2"/>
      <c r="P181" s="2"/>
      <c r="Q181" s="2"/>
    </row>
    <row r="182" spans="1:17" x14ac:dyDescent="0.25">
      <c r="A182" s="2"/>
      <c r="B182" s="2"/>
      <c r="C182" s="2"/>
      <c r="D182" s="2"/>
      <c r="E182" s="2"/>
      <c r="F182" s="13"/>
      <c r="G182" s="2"/>
      <c r="H182" s="2"/>
      <c r="I182" s="13"/>
      <c r="J182" s="13"/>
      <c r="K182" s="2"/>
      <c r="L182" s="8"/>
      <c r="M182" s="2"/>
      <c r="N182" s="2"/>
      <c r="O182" s="2"/>
      <c r="P182" s="2"/>
      <c r="Q182" s="2"/>
    </row>
    <row r="183" spans="1:17" x14ac:dyDescent="0.25">
      <c r="A183" s="2"/>
      <c r="B183" s="2"/>
      <c r="C183" s="2"/>
      <c r="D183" s="2"/>
      <c r="E183" s="2"/>
      <c r="F183" s="13"/>
      <c r="G183" s="2"/>
      <c r="H183" s="2"/>
      <c r="I183" s="13"/>
      <c r="J183" s="13"/>
      <c r="K183" s="2"/>
      <c r="L183" s="8"/>
      <c r="M183" s="2"/>
      <c r="N183" s="2"/>
      <c r="O183" s="2"/>
      <c r="P183" s="2"/>
      <c r="Q183" s="2"/>
    </row>
    <row r="184" spans="1:17" x14ac:dyDescent="0.25">
      <c r="A184" s="2"/>
      <c r="B184" s="2"/>
      <c r="C184" s="2"/>
      <c r="D184" s="2"/>
      <c r="E184" s="2"/>
      <c r="F184" s="13"/>
      <c r="G184" s="2"/>
      <c r="H184" s="2"/>
      <c r="I184" s="13"/>
      <c r="J184" s="13"/>
      <c r="K184" s="2"/>
      <c r="L184" s="8"/>
      <c r="M184" s="2"/>
      <c r="N184" s="2"/>
      <c r="O184" s="2"/>
      <c r="P184" s="2"/>
      <c r="Q184" s="2"/>
    </row>
    <row r="185" spans="1:17" x14ac:dyDescent="0.25">
      <c r="A185" s="2"/>
      <c r="B185" s="2"/>
      <c r="C185" s="2"/>
      <c r="D185" s="2"/>
      <c r="E185" s="2"/>
      <c r="F185" s="13"/>
      <c r="G185" s="2"/>
      <c r="H185" s="2"/>
      <c r="I185" s="13"/>
      <c r="J185" s="13"/>
      <c r="K185" s="2"/>
      <c r="L185" s="8"/>
      <c r="M185" s="2"/>
      <c r="N185" s="2"/>
      <c r="O185" s="2"/>
      <c r="P185" s="2"/>
      <c r="Q185" s="2"/>
    </row>
    <row r="186" spans="1:17" x14ac:dyDescent="0.25">
      <c r="A186" s="2"/>
      <c r="B186" s="2"/>
      <c r="C186" s="2"/>
      <c r="D186" s="2"/>
      <c r="E186" s="2"/>
      <c r="F186" s="13"/>
      <c r="G186" s="2"/>
      <c r="H186" s="2"/>
      <c r="I186" s="13"/>
      <c r="J186" s="13"/>
      <c r="K186" s="2"/>
      <c r="L186" s="8"/>
      <c r="M186" s="2"/>
      <c r="N186" s="2"/>
      <c r="O186" s="2"/>
      <c r="P186" s="2"/>
      <c r="Q186" s="2"/>
    </row>
    <row r="187" spans="1:17" x14ac:dyDescent="0.25">
      <c r="A187" s="2"/>
      <c r="B187" s="2"/>
      <c r="C187" s="2"/>
      <c r="D187" s="2"/>
      <c r="E187" s="2"/>
      <c r="F187" s="13"/>
      <c r="G187" s="2"/>
      <c r="H187" s="2"/>
      <c r="I187" s="13"/>
      <c r="J187" s="13"/>
      <c r="K187" s="2"/>
      <c r="L187" s="8"/>
      <c r="M187" s="2"/>
      <c r="N187" s="2"/>
      <c r="O187" s="2"/>
      <c r="P187" s="2"/>
      <c r="Q187" s="2"/>
    </row>
    <row r="188" spans="1:17" x14ac:dyDescent="0.25">
      <c r="A188" s="2"/>
      <c r="B188" s="2"/>
      <c r="C188" s="2"/>
      <c r="D188" s="2"/>
      <c r="E188" s="2"/>
      <c r="F188" s="13"/>
      <c r="G188" s="2"/>
      <c r="H188" s="2"/>
      <c r="I188" s="13"/>
      <c r="J188" s="13"/>
      <c r="K188" s="2"/>
      <c r="L188" s="8"/>
      <c r="M188" s="2"/>
      <c r="N188" s="2"/>
      <c r="O188" s="2"/>
      <c r="P188" s="2"/>
      <c r="Q188" s="2"/>
    </row>
    <row r="189" spans="1:17" x14ac:dyDescent="0.25">
      <c r="A189" s="2"/>
      <c r="B189" s="2"/>
      <c r="C189" s="2"/>
      <c r="D189" s="2"/>
      <c r="E189" s="2"/>
      <c r="F189" s="13"/>
      <c r="G189" s="2"/>
      <c r="H189" s="2"/>
      <c r="I189" s="13"/>
      <c r="J189" s="13"/>
      <c r="K189" s="2"/>
      <c r="L189" s="8"/>
      <c r="M189" s="2"/>
      <c r="N189" s="2"/>
      <c r="O189" s="2"/>
      <c r="P189" s="2"/>
      <c r="Q189" s="2"/>
    </row>
    <row r="190" spans="1:17" x14ac:dyDescent="0.25">
      <c r="A190" s="2"/>
      <c r="B190" s="2"/>
      <c r="C190" s="2"/>
      <c r="D190" s="2"/>
      <c r="E190" s="2"/>
      <c r="F190" s="13"/>
      <c r="G190" s="2"/>
      <c r="H190" s="2"/>
      <c r="I190" s="13"/>
      <c r="J190" s="13"/>
      <c r="K190" s="2"/>
      <c r="L190" s="8"/>
      <c r="M190" s="2"/>
      <c r="N190" s="2"/>
      <c r="O190" s="2"/>
      <c r="P190" s="2"/>
      <c r="Q190" s="2"/>
    </row>
    <row r="191" spans="1:17" x14ac:dyDescent="0.25">
      <c r="A191" s="2"/>
      <c r="B191" s="2"/>
      <c r="C191" s="2"/>
      <c r="D191" s="2"/>
      <c r="E191" s="2"/>
      <c r="F191" s="13"/>
      <c r="G191" s="2"/>
      <c r="H191" s="2"/>
      <c r="I191" s="13"/>
      <c r="J191" s="13"/>
      <c r="K191" s="2"/>
      <c r="L191" s="8"/>
      <c r="M191" s="2"/>
      <c r="N191" s="2"/>
      <c r="O191" s="2"/>
      <c r="P191" s="2"/>
      <c r="Q191" s="2"/>
    </row>
    <row r="192" spans="1:17" x14ac:dyDescent="0.25">
      <c r="A192" s="2"/>
      <c r="B192" s="2"/>
      <c r="C192" s="2"/>
      <c r="D192" s="2"/>
      <c r="E192" s="2"/>
      <c r="F192" s="13"/>
      <c r="G192" s="2"/>
      <c r="H192" s="2"/>
      <c r="I192" s="13"/>
      <c r="J192" s="13"/>
      <c r="K192" s="2"/>
      <c r="L192" s="8"/>
      <c r="M192" s="2"/>
      <c r="N192" s="2"/>
      <c r="O192" s="2"/>
      <c r="P192" s="2"/>
      <c r="Q192" s="2"/>
    </row>
    <row r="193" spans="1:17" x14ac:dyDescent="0.25">
      <c r="A193" s="2"/>
      <c r="B193" s="2"/>
      <c r="C193" s="2"/>
      <c r="D193" s="2"/>
      <c r="E193" s="2"/>
      <c r="F193" s="13"/>
      <c r="G193" s="2"/>
      <c r="H193" s="2"/>
      <c r="I193" s="13"/>
      <c r="J193" s="13"/>
      <c r="K193" s="2"/>
      <c r="L193" s="8"/>
      <c r="M193" s="2"/>
      <c r="N193" s="2"/>
      <c r="O193" s="2"/>
      <c r="P193" s="2"/>
      <c r="Q193" s="2"/>
    </row>
    <row r="194" spans="1:17" x14ac:dyDescent="0.25">
      <c r="A194" s="2"/>
      <c r="B194" s="2"/>
      <c r="C194" s="2"/>
      <c r="D194" s="2"/>
      <c r="E194" s="2"/>
      <c r="F194" s="13"/>
      <c r="G194" s="2"/>
      <c r="H194" s="2"/>
      <c r="I194" s="13"/>
      <c r="J194" s="13"/>
      <c r="K194" s="2"/>
      <c r="L194" s="8"/>
      <c r="M194" s="2"/>
      <c r="N194" s="2"/>
      <c r="O194" s="2"/>
      <c r="P194" s="2"/>
      <c r="Q194" s="2"/>
    </row>
    <row r="195" spans="1:17" x14ac:dyDescent="0.25">
      <c r="A195" s="2"/>
      <c r="B195" s="2"/>
      <c r="C195" s="2"/>
      <c r="D195" s="2"/>
      <c r="E195" s="2"/>
      <c r="F195" s="13"/>
      <c r="G195" s="2"/>
      <c r="H195" s="2"/>
      <c r="I195" s="13"/>
      <c r="J195" s="13"/>
      <c r="K195" s="2"/>
      <c r="L195" s="8"/>
      <c r="M195" s="2"/>
      <c r="N195" s="2"/>
      <c r="O195" s="2"/>
      <c r="P195" s="2"/>
      <c r="Q195" s="2"/>
    </row>
    <row r="196" spans="1:17" x14ac:dyDescent="0.25">
      <c r="A196" s="2"/>
      <c r="B196" s="2"/>
      <c r="C196" s="2"/>
      <c r="D196" s="2"/>
      <c r="E196" s="2"/>
      <c r="F196" s="13"/>
      <c r="G196" s="2"/>
      <c r="H196" s="2"/>
      <c r="I196" s="13"/>
      <c r="J196" s="13"/>
      <c r="K196" s="2"/>
      <c r="L196" s="8"/>
      <c r="M196" s="2"/>
      <c r="N196" s="2"/>
      <c r="O196" s="2"/>
      <c r="P196" s="2"/>
      <c r="Q196" s="2"/>
    </row>
    <row r="197" spans="1:17" x14ac:dyDescent="0.25">
      <c r="A197" s="2"/>
      <c r="B197" s="2"/>
      <c r="C197" s="2"/>
      <c r="D197" s="2"/>
      <c r="E197" s="2"/>
      <c r="F197" s="13"/>
      <c r="G197" s="2"/>
      <c r="H197" s="2"/>
      <c r="I197" s="13"/>
      <c r="J197" s="13"/>
      <c r="K197" s="2"/>
      <c r="L197" s="8"/>
      <c r="M197" s="2"/>
      <c r="N197" s="2"/>
      <c r="O197" s="2"/>
      <c r="P197" s="2"/>
      <c r="Q197" s="2"/>
    </row>
    <row r="198" spans="1:17" x14ac:dyDescent="0.25">
      <c r="A198" s="2"/>
      <c r="B198" s="2"/>
      <c r="C198" s="2"/>
      <c r="D198" s="2"/>
      <c r="E198" s="2"/>
      <c r="F198" s="13"/>
      <c r="G198" s="2"/>
      <c r="H198" s="2"/>
      <c r="I198" s="13"/>
      <c r="J198" s="13"/>
      <c r="K198" s="2"/>
      <c r="L198" s="8"/>
      <c r="M198" s="2"/>
      <c r="N198" s="2"/>
      <c r="O198" s="2"/>
      <c r="P198" s="2"/>
      <c r="Q198" s="2"/>
    </row>
    <row r="199" spans="1:17" x14ac:dyDescent="0.25">
      <c r="A199" s="2"/>
      <c r="B199" s="2"/>
      <c r="C199" s="2"/>
      <c r="D199" s="2"/>
      <c r="E199" s="2"/>
      <c r="F199" s="13"/>
      <c r="G199" s="2"/>
      <c r="H199" s="2"/>
      <c r="I199" s="13"/>
      <c r="J199" s="13"/>
      <c r="K199" s="2"/>
      <c r="L199" s="8"/>
      <c r="M199" s="2"/>
      <c r="N199" s="2"/>
      <c r="O199" s="2"/>
      <c r="P199" s="2"/>
      <c r="Q199" s="2"/>
    </row>
    <row r="200" spans="1:17" x14ac:dyDescent="0.25">
      <c r="A200" s="2"/>
      <c r="B200" s="2"/>
      <c r="C200" s="2"/>
      <c r="D200" s="2"/>
      <c r="E200" s="2"/>
      <c r="F200" s="13"/>
      <c r="G200" s="2"/>
      <c r="H200" s="2"/>
      <c r="I200" s="13"/>
      <c r="J200" s="13"/>
      <c r="K200" s="2"/>
      <c r="L200" s="8"/>
      <c r="M200" s="2"/>
      <c r="N200" s="2"/>
      <c r="O200" s="2"/>
      <c r="P200" s="2"/>
      <c r="Q200" s="2"/>
    </row>
    <row r="201" spans="1:17" x14ac:dyDescent="0.25">
      <c r="A201" s="2"/>
      <c r="B201" s="2"/>
      <c r="C201" s="2"/>
      <c r="D201" s="2"/>
      <c r="E201" s="2"/>
      <c r="F201" s="13"/>
      <c r="G201" s="2"/>
      <c r="H201" s="2"/>
      <c r="I201" s="13"/>
      <c r="J201" s="13"/>
      <c r="K201" s="2"/>
      <c r="L201" s="8"/>
      <c r="M201" s="2"/>
      <c r="N201" s="2"/>
      <c r="O201" s="2"/>
      <c r="P201" s="2"/>
      <c r="Q201" s="2"/>
    </row>
    <row r="202" spans="1:17" x14ac:dyDescent="0.25">
      <c r="A202" s="2"/>
      <c r="B202" s="2"/>
      <c r="C202" s="2"/>
      <c r="D202" s="2"/>
      <c r="E202" s="2"/>
      <c r="F202" s="13"/>
      <c r="G202" s="2"/>
      <c r="H202" s="2"/>
      <c r="I202" s="13"/>
      <c r="J202" s="13"/>
      <c r="K202" s="2"/>
      <c r="L202" s="8"/>
      <c r="M202" s="2"/>
      <c r="N202" s="2"/>
      <c r="O202" s="2"/>
      <c r="P202" s="2"/>
      <c r="Q202" s="2"/>
    </row>
    <row r="203" spans="1:17" x14ac:dyDescent="0.25">
      <c r="A203" s="2"/>
      <c r="B203" s="2"/>
      <c r="C203" s="2"/>
      <c r="D203" s="2"/>
      <c r="E203" s="2"/>
      <c r="F203" s="13"/>
      <c r="G203" s="2"/>
      <c r="H203" s="2"/>
      <c r="I203" s="13"/>
      <c r="J203" s="13"/>
      <c r="K203" s="2"/>
      <c r="L203" s="8"/>
      <c r="M203" s="2"/>
      <c r="N203" s="2"/>
      <c r="O203" s="2"/>
      <c r="P203" s="2"/>
      <c r="Q203" s="2"/>
    </row>
    <row r="204" spans="1:17" x14ac:dyDescent="0.25">
      <c r="A204" s="2"/>
      <c r="B204" s="2"/>
      <c r="C204" s="2"/>
      <c r="D204" s="2"/>
      <c r="E204" s="2"/>
      <c r="F204" s="13"/>
      <c r="G204" s="2"/>
      <c r="H204" s="2"/>
      <c r="I204" s="13"/>
      <c r="J204" s="13"/>
      <c r="K204" s="2"/>
      <c r="L204" s="8"/>
      <c r="M204" s="2"/>
      <c r="N204" s="2"/>
      <c r="O204" s="2"/>
      <c r="P204" s="2"/>
      <c r="Q204" s="2"/>
    </row>
    <row r="205" spans="1:17" x14ac:dyDescent="0.25">
      <c r="A205" s="2"/>
      <c r="B205" s="2"/>
      <c r="C205" s="2"/>
      <c r="D205" s="2"/>
      <c r="E205" s="2"/>
      <c r="F205" s="13"/>
      <c r="G205" s="2"/>
      <c r="H205" s="2"/>
      <c r="I205" s="13"/>
      <c r="J205" s="13"/>
      <c r="K205" s="2"/>
      <c r="L205" s="8"/>
      <c r="M205" s="2"/>
      <c r="N205" s="2"/>
      <c r="O205" s="2"/>
      <c r="P205" s="2"/>
      <c r="Q205" s="2"/>
    </row>
    <row r="206" spans="1:17" x14ac:dyDescent="0.25">
      <c r="A206" s="2"/>
      <c r="B206" s="2"/>
      <c r="C206" s="2"/>
      <c r="D206" s="2"/>
      <c r="E206" s="2"/>
      <c r="F206" s="13"/>
      <c r="G206" s="2"/>
      <c r="H206" s="2"/>
      <c r="I206" s="13"/>
      <c r="J206" s="13"/>
      <c r="K206" s="2"/>
      <c r="L206" s="8"/>
      <c r="M206" s="2"/>
      <c r="N206" s="2"/>
      <c r="O206" s="2"/>
      <c r="P206" s="2"/>
      <c r="Q206" s="2"/>
    </row>
    <row r="207" spans="1:17" x14ac:dyDescent="0.25">
      <c r="A207" s="2"/>
      <c r="B207" s="2"/>
      <c r="C207" s="2"/>
      <c r="D207" s="2"/>
      <c r="E207" s="2"/>
      <c r="F207" s="13"/>
      <c r="G207" s="2"/>
      <c r="H207" s="2"/>
      <c r="I207" s="13"/>
      <c r="J207" s="13"/>
      <c r="K207" s="2"/>
      <c r="L207" s="8"/>
      <c r="M207" s="2"/>
      <c r="N207" s="2"/>
      <c r="O207" s="2"/>
      <c r="P207" s="2"/>
      <c r="Q207" s="2"/>
    </row>
    <row r="208" spans="1:17" x14ac:dyDescent="0.25">
      <c r="A208" s="2"/>
      <c r="B208" s="2"/>
      <c r="C208" s="2"/>
      <c r="D208" s="2"/>
      <c r="E208" s="2"/>
      <c r="F208" s="13"/>
      <c r="G208" s="2"/>
      <c r="H208" s="2"/>
      <c r="I208" s="13"/>
      <c r="J208" s="13"/>
      <c r="K208" s="2"/>
      <c r="L208" s="8"/>
      <c r="M208" s="2"/>
      <c r="N208" s="2"/>
      <c r="O208" s="2"/>
      <c r="P208" s="2"/>
      <c r="Q208" s="2"/>
    </row>
    <row r="209" spans="1:17" x14ac:dyDescent="0.25">
      <c r="A209" s="2"/>
      <c r="B209" s="2"/>
      <c r="C209" s="2"/>
      <c r="D209" s="2"/>
      <c r="E209" s="2"/>
      <c r="F209" s="13"/>
      <c r="G209" s="2"/>
      <c r="H209" s="2"/>
      <c r="I209" s="13"/>
      <c r="J209" s="13"/>
      <c r="K209" s="2"/>
      <c r="L209" s="8"/>
      <c r="M209" s="2"/>
      <c r="N209" s="2"/>
      <c r="O209" s="2"/>
      <c r="P209" s="2"/>
      <c r="Q209" s="2"/>
    </row>
    <row r="210" spans="1:17" x14ac:dyDescent="0.25">
      <c r="A210" s="2"/>
      <c r="B210" s="2"/>
      <c r="C210" s="2"/>
      <c r="D210" s="2"/>
      <c r="E210" s="2"/>
      <c r="F210" s="13"/>
      <c r="G210" s="2"/>
      <c r="H210" s="2"/>
      <c r="I210" s="13"/>
      <c r="J210" s="13"/>
      <c r="K210" s="2"/>
      <c r="L210" s="8"/>
      <c r="M210" s="2"/>
      <c r="N210" s="2"/>
      <c r="O210" s="2"/>
      <c r="P210" s="2"/>
      <c r="Q210" s="2"/>
    </row>
    <row r="211" spans="1:17" x14ac:dyDescent="0.25">
      <c r="A211" s="2"/>
      <c r="B211" s="2"/>
      <c r="C211" s="2"/>
      <c r="D211" s="2"/>
      <c r="E211" s="2"/>
      <c r="F211" s="13"/>
      <c r="G211" s="2"/>
      <c r="H211" s="2"/>
      <c r="I211" s="13"/>
      <c r="J211" s="13"/>
      <c r="K211" s="2"/>
      <c r="L211" s="8"/>
      <c r="M211" s="2"/>
      <c r="N211" s="2"/>
      <c r="O211" s="2"/>
      <c r="P211" s="2"/>
      <c r="Q211" s="2"/>
    </row>
    <row r="212" spans="1:17" x14ac:dyDescent="0.25">
      <c r="A212" s="2"/>
      <c r="B212" s="2"/>
      <c r="C212" s="2"/>
      <c r="D212" s="2"/>
      <c r="E212" s="2"/>
      <c r="F212" s="13"/>
      <c r="G212" s="2"/>
      <c r="H212" s="2"/>
      <c r="I212" s="13"/>
      <c r="J212" s="13"/>
      <c r="K212" s="2"/>
      <c r="L212" s="8"/>
      <c r="M212" s="2"/>
      <c r="N212" s="2"/>
      <c r="O212" s="2"/>
      <c r="P212" s="2"/>
      <c r="Q212" s="2"/>
    </row>
    <row r="213" spans="1:17" x14ac:dyDescent="0.25">
      <c r="A213" s="2"/>
      <c r="B213" s="2"/>
      <c r="C213" s="2"/>
      <c r="D213" s="2"/>
      <c r="E213" s="2"/>
      <c r="F213" s="13"/>
      <c r="G213" s="2"/>
      <c r="H213" s="2"/>
      <c r="I213" s="13"/>
      <c r="J213" s="13"/>
      <c r="K213" s="2"/>
      <c r="L213" s="8"/>
      <c r="M213" s="2"/>
      <c r="N213" s="2"/>
      <c r="O213" s="2"/>
      <c r="P213" s="2"/>
      <c r="Q213" s="2"/>
    </row>
    <row r="214" spans="1:17" x14ac:dyDescent="0.25">
      <c r="A214" s="2"/>
      <c r="B214" s="2"/>
      <c r="C214" s="2"/>
      <c r="D214" s="2"/>
      <c r="E214" s="2"/>
      <c r="F214" s="13"/>
      <c r="G214" s="2"/>
      <c r="H214" s="2"/>
      <c r="I214" s="13"/>
      <c r="J214" s="13"/>
      <c r="K214" s="2"/>
      <c r="L214" s="8"/>
      <c r="M214" s="2"/>
      <c r="N214" s="2"/>
      <c r="O214" s="2"/>
      <c r="P214" s="2"/>
      <c r="Q214" s="2"/>
    </row>
    <row r="215" spans="1:17" x14ac:dyDescent="0.25">
      <c r="A215" s="2"/>
      <c r="B215" s="2"/>
      <c r="C215" s="2"/>
      <c r="D215" s="2"/>
      <c r="E215" s="2"/>
      <c r="F215" s="13"/>
      <c r="G215" s="2"/>
      <c r="H215" s="2"/>
      <c r="I215" s="13"/>
      <c r="J215" s="13"/>
      <c r="K215" s="2"/>
      <c r="L215" s="8"/>
      <c r="M215" s="2"/>
      <c r="N215" s="2"/>
      <c r="O215" s="2"/>
      <c r="P215" s="2"/>
      <c r="Q215" s="2"/>
    </row>
    <row r="216" spans="1:17" x14ac:dyDescent="0.25">
      <c r="A216" s="2"/>
      <c r="B216" s="2"/>
      <c r="C216" s="2"/>
      <c r="D216" s="2"/>
      <c r="E216" s="2"/>
      <c r="F216" s="13"/>
      <c r="G216" s="2"/>
      <c r="H216" s="2"/>
      <c r="I216" s="13"/>
      <c r="J216" s="13"/>
      <c r="K216" s="2"/>
      <c r="L216" s="8"/>
      <c r="M216" s="2"/>
      <c r="N216" s="2"/>
      <c r="O216" s="2"/>
      <c r="P216" s="2"/>
      <c r="Q216" s="2"/>
    </row>
    <row r="217" spans="1:17" x14ac:dyDescent="0.25">
      <c r="A217" s="2"/>
      <c r="B217" s="2"/>
      <c r="C217" s="2"/>
      <c r="D217" s="2"/>
      <c r="E217" s="2"/>
      <c r="F217" s="13"/>
      <c r="G217" s="2"/>
      <c r="H217" s="2"/>
      <c r="I217" s="13"/>
      <c r="J217" s="13"/>
      <c r="K217" s="2"/>
      <c r="L217" s="8"/>
      <c r="M217" s="2"/>
      <c r="N217" s="2"/>
      <c r="O217" s="2"/>
      <c r="P217" s="2"/>
      <c r="Q217" s="2"/>
    </row>
    <row r="218" spans="1:17" x14ac:dyDescent="0.25">
      <c r="A218" s="2"/>
      <c r="B218" s="2"/>
      <c r="C218" s="2"/>
      <c r="D218" s="2"/>
      <c r="E218" s="2"/>
      <c r="F218" s="13"/>
      <c r="G218" s="2"/>
      <c r="H218" s="2"/>
      <c r="I218" s="13"/>
      <c r="J218" s="13"/>
      <c r="K218" s="2"/>
      <c r="L218" s="8"/>
      <c r="M218" s="2"/>
      <c r="N218" s="2"/>
      <c r="O218" s="2"/>
      <c r="P218" s="2"/>
      <c r="Q218" s="2"/>
    </row>
    <row r="219" spans="1:17" x14ac:dyDescent="0.25">
      <c r="A219" s="2"/>
      <c r="B219" s="2"/>
      <c r="C219" s="2"/>
      <c r="D219" s="2"/>
      <c r="E219" s="2"/>
      <c r="F219" s="13"/>
      <c r="G219" s="2"/>
      <c r="H219" s="2"/>
      <c r="I219" s="13"/>
      <c r="J219" s="13"/>
      <c r="K219" s="2"/>
      <c r="L219" s="8"/>
      <c r="M219" s="2"/>
      <c r="N219" s="2"/>
      <c r="O219" s="2"/>
      <c r="P219" s="2"/>
      <c r="Q219" s="2"/>
    </row>
    <row r="220" spans="1:17" x14ac:dyDescent="0.25">
      <c r="A220" s="2"/>
      <c r="B220" s="2"/>
      <c r="C220" s="2"/>
      <c r="D220" s="2"/>
      <c r="E220" s="2"/>
      <c r="F220" s="13"/>
      <c r="G220" s="2"/>
      <c r="H220" s="2"/>
      <c r="I220" s="13"/>
      <c r="J220" s="13"/>
      <c r="K220" s="2"/>
      <c r="L220" s="8"/>
      <c r="M220" s="2"/>
      <c r="N220" s="2"/>
      <c r="O220" s="2"/>
      <c r="P220" s="2"/>
      <c r="Q220" s="2"/>
    </row>
    <row r="221" spans="1:17" x14ac:dyDescent="0.25">
      <c r="A221" s="2"/>
      <c r="B221" s="2"/>
      <c r="C221" s="2"/>
      <c r="D221" s="2"/>
      <c r="E221" s="2"/>
      <c r="F221" s="13"/>
      <c r="G221" s="2"/>
      <c r="H221" s="2"/>
      <c r="I221" s="13"/>
      <c r="J221" s="13"/>
      <c r="K221" s="2"/>
      <c r="L221" s="8"/>
      <c r="M221" s="2"/>
      <c r="N221" s="2"/>
      <c r="O221" s="2"/>
      <c r="P221" s="2"/>
      <c r="Q221" s="2"/>
    </row>
    <row r="222" spans="1:17" x14ac:dyDescent="0.25">
      <c r="A222" s="2"/>
      <c r="B222" s="2"/>
      <c r="C222" s="2"/>
      <c r="D222" s="2"/>
      <c r="E222" s="2"/>
      <c r="F222" s="13"/>
      <c r="G222" s="2"/>
      <c r="H222" s="2"/>
      <c r="I222" s="13"/>
      <c r="J222" s="13"/>
      <c r="K222" s="2"/>
      <c r="L222" s="8"/>
      <c r="M222" s="2"/>
      <c r="N222" s="2"/>
      <c r="O222" s="2"/>
      <c r="P222" s="2"/>
      <c r="Q222" s="2"/>
    </row>
    <row r="223" spans="1:17" x14ac:dyDescent="0.25">
      <c r="A223" s="2"/>
      <c r="B223" s="2"/>
      <c r="C223" s="2"/>
      <c r="D223" s="2"/>
      <c r="E223" s="2"/>
      <c r="F223" s="13"/>
      <c r="G223" s="2"/>
      <c r="H223" s="2"/>
      <c r="I223" s="13"/>
      <c r="J223" s="13"/>
      <c r="K223" s="2"/>
      <c r="L223" s="8"/>
      <c r="M223" s="2"/>
      <c r="N223" s="2"/>
      <c r="O223" s="2"/>
      <c r="P223" s="2"/>
      <c r="Q223" s="2"/>
    </row>
    <row r="224" spans="1:17" x14ac:dyDescent="0.25">
      <c r="A224" s="2"/>
      <c r="B224" s="2"/>
      <c r="C224" s="2"/>
      <c r="D224" s="2"/>
      <c r="E224" s="2"/>
      <c r="F224" s="13"/>
      <c r="G224" s="2"/>
      <c r="H224" s="2"/>
      <c r="I224" s="13"/>
      <c r="J224" s="13"/>
      <c r="K224" s="2"/>
      <c r="L224" s="8"/>
      <c r="M224" s="2"/>
      <c r="N224" s="2"/>
      <c r="O224" s="2"/>
      <c r="P224" s="2"/>
      <c r="Q224" s="2"/>
    </row>
    <row r="225" spans="1:17" x14ac:dyDescent="0.25">
      <c r="A225" s="2"/>
      <c r="B225" s="2"/>
      <c r="C225" s="2"/>
      <c r="D225" s="2"/>
      <c r="E225" s="2"/>
      <c r="F225" s="13"/>
      <c r="G225" s="2"/>
      <c r="H225" s="2"/>
      <c r="I225" s="13"/>
      <c r="J225" s="13"/>
      <c r="K225" s="2"/>
      <c r="L225" s="8"/>
      <c r="M225" s="2"/>
      <c r="N225" s="2"/>
      <c r="O225" s="2"/>
      <c r="P225" s="2"/>
      <c r="Q225" s="2"/>
    </row>
    <row r="226" spans="1:17" x14ac:dyDescent="0.25">
      <c r="A226" s="2"/>
      <c r="B226" s="2"/>
      <c r="C226" s="2"/>
      <c r="D226" s="2"/>
      <c r="E226" s="2"/>
      <c r="F226" s="13"/>
      <c r="G226" s="2"/>
      <c r="H226" s="2"/>
      <c r="I226" s="13"/>
      <c r="J226" s="13"/>
      <c r="K226" s="2"/>
      <c r="L226" s="8"/>
      <c r="M226" s="2"/>
      <c r="N226" s="2"/>
      <c r="O226" s="2"/>
      <c r="P226" s="2"/>
      <c r="Q226" s="2"/>
    </row>
    <row r="227" spans="1:17" x14ac:dyDescent="0.25">
      <c r="A227" s="2"/>
      <c r="B227" s="2"/>
      <c r="C227" s="2"/>
      <c r="D227" s="2"/>
      <c r="E227" s="2"/>
      <c r="F227" s="13"/>
      <c r="G227" s="2"/>
      <c r="H227" s="2"/>
      <c r="I227" s="13"/>
      <c r="J227" s="13"/>
      <c r="K227" s="2"/>
      <c r="L227" s="8"/>
      <c r="M227" s="2"/>
      <c r="N227" s="2"/>
      <c r="O227" s="2"/>
      <c r="P227" s="2"/>
      <c r="Q227" s="2"/>
    </row>
    <row r="228" spans="1:17" x14ac:dyDescent="0.25">
      <c r="A228" s="2"/>
      <c r="B228" s="2"/>
      <c r="C228" s="2"/>
      <c r="D228" s="2"/>
      <c r="E228" s="2"/>
      <c r="F228" s="13"/>
      <c r="G228" s="2"/>
      <c r="H228" s="2"/>
      <c r="I228" s="13"/>
      <c r="J228" s="13"/>
      <c r="K228" s="2"/>
      <c r="L228" s="8"/>
      <c r="M228" s="2"/>
      <c r="N228" s="2"/>
      <c r="O228" s="2"/>
      <c r="P228" s="2"/>
      <c r="Q228" s="2"/>
    </row>
    <row r="229" spans="1:17" x14ac:dyDescent="0.25">
      <c r="A229" s="2"/>
      <c r="B229" s="2"/>
      <c r="C229" s="2"/>
      <c r="D229" s="2"/>
      <c r="E229" s="2"/>
      <c r="F229" s="13"/>
      <c r="G229" s="2"/>
      <c r="H229" s="2"/>
      <c r="I229" s="13"/>
      <c r="J229" s="13"/>
      <c r="K229" s="2"/>
      <c r="L229" s="8"/>
      <c r="M229" s="2"/>
      <c r="N229" s="2"/>
      <c r="O229" s="2"/>
      <c r="P229" s="2"/>
      <c r="Q229" s="2"/>
    </row>
    <row r="230" spans="1:17" x14ac:dyDescent="0.25">
      <c r="A230" s="2"/>
      <c r="B230" s="2"/>
      <c r="C230" s="2"/>
      <c r="D230" s="2"/>
      <c r="E230" s="2"/>
      <c r="F230" s="13"/>
      <c r="G230" s="2"/>
      <c r="H230" s="2"/>
      <c r="I230" s="13"/>
      <c r="J230" s="13"/>
      <c r="K230" s="2"/>
      <c r="L230" s="8"/>
      <c r="M230" s="2"/>
      <c r="N230" s="2"/>
      <c r="O230" s="2"/>
      <c r="P230" s="2"/>
      <c r="Q230" s="2"/>
    </row>
    <row r="231" spans="1:17" x14ac:dyDescent="0.25">
      <c r="A231" s="2"/>
      <c r="B231" s="2"/>
      <c r="C231" s="2"/>
      <c r="D231" s="2"/>
      <c r="E231" s="2"/>
      <c r="F231" s="13"/>
      <c r="G231" s="2"/>
      <c r="H231" s="2"/>
      <c r="I231" s="13"/>
      <c r="J231" s="13"/>
      <c r="K231" s="2"/>
      <c r="L231" s="8"/>
      <c r="M231" s="2"/>
      <c r="N231" s="2"/>
      <c r="O231" s="2"/>
      <c r="P231" s="2"/>
      <c r="Q231" s="2"/>
    </row>
    <row r="232" spans="1:17" x14ac:dyDescent="0.25">
      <c r="A232" s="2"/>
      <c r="B232" s="2"/>
      <c r="C232" s="2"/>
      <c r="D232" s="2"/>
      <c r="E232" s="2"/>
      <c r="F232" s="13"/>
      <c r="G232" s="2"/>
      <c r="H232" s="2"/>
      <c r="I232" s="13"/>
      <c r="J232" s="13"/>
      <c r="K232" s="2"/>
      <c r="L232" s="8"/>
      <c r="M232" s="2"/>
      <c r="N232" s="2"/>
      <c r="O232" s="2"/>
      <c r="P232" s="2"/>
      <c r="Q232" s="2"/>
    </row>
    <row r="233" spans="1:17" x14ac:dyDescent="0.25">
      <c r="A233" s="2"/>
      <c r="B233" s="2"/>
      <c r="C233" s="2"/>
      <c r="D233" s="2"/>
      <c r="E233" s="2"/>
      <c r="F233" s="13"/>
      <c r="G233" s="2"/>
      <c r="H233" s="2"/>
      <c r="I233" s="13"/>
      <c r="J233" s="13"/>
      <c r="K233" s="2"/>
      <c r="L233" s="8"/>
      <c r="M233" s="2"/>
      <c r="N233" s="2"/>
      <c r="O233" s="2"/>
      <c r="P233" s="2"/>
      <c r="Q233" s="2"/>
    </row>
    <row r="234" spans="1:17" x14ac:dyDescent="0.25">
      <c r="A234" s="2"/>
      <c r="B234" s="2"/>
      <c r="C234" s="2"/>
      <c r="D234" s="2"/>
      <c r="E234" s="2"/>
      <c r="F234" s="13"/>
      <c r="G234" s="2"/>
      <c r="H234" s="2"/>
      <c r="I234" s="13"/>
      <c r="J234" s="13"/>
      <c r="K234" s="2"/>
      <c r="L234" s="8"/>
      <c r="M234" s="2"/>
      <c r="N234" s="2"/>
      <c r="O234" s="2"/>
      <c r="P234" s="2"/>
      <c r="Q234" s="2"/>
    </row>
    <row r="235" spans="1:17" x14ac:dyDescent="0.25">
      <c r="A235" s="2"/>
      <c r="B235" s="2"/>
      <c r="C235" s="2"/>
      <c r="D235" s="2"/>
      <c r="E235" s="2"/>
      <c r="F235" s="13"/>
      <c r="G235" s="2"/>
      <c r="H235" s="2"/>
      <c r="I235" s="13"/>
      <c r="J235" s="13"/>
      <c r="K235" s="2"/>
      <c r="L235" s="8"/>
      <c r="M235" s="2"/>
      <c r="N235" s="2"/>
      <c r="O235" s="2"/>
      <c r="P235" s="2"/>
      <c r="Q235" s="2"/>
    </row>
    <row r="236" spans="1:17" x14ac:dyDescent="0.25">
      <c r="A236" s="2"/>
      <c r="B236" s="2"/>
      <c r="C236" s="2"/>
      <c r="D236" s="2"/>
      <c r="E236" s="2"/>
      <c r="F236" s="13"/>
      <c r="G236" s="2"/>
      <c r="H236" s="2"/>
      <c r="I236" s="13"/>
      <c r="J236" s="13"/>
      <c r="K236" s="2"/>
      <c r="L236" s="8"/>
      <c r="M236" s="2"/>
      <c r="N236" s="2"/>
      <c r="O236" s="2"/>
      <c r="P236" s="2"/>
      <c r="Q236" s="2"/>
    </row>
    <row r="237" spans="1:17" x14ac:dyDescent="0.25">
      <c r="A237" s="2"/>
      <c r="B237" s="2"/>
      <c r="C237" s="2"/>
      <c r="D237" s="2"/>
      <c r="E237" s="2"/>
      <c r="F237" s="13"/>
      <c r="G237" s="2"/>
      <c r="H237" s="2"/>
      <c r="I237" s="13"/>
      <c r="J237" s="13"/>
      <c r="K237" s="2"/>
      <c r="L237" s="8"/>
      <c r="M237" s="2"/>
      <c r="N237" s="2"/>
      <c r="O237" s="2"/>
      <c r="P237" s="2"/>
      <c r="Q237" s="2"/>
    </row>
    <row r="238" spans="1:17" x14ac:dyDescent="0.25">
      <c r="A238" s="2"/>
      <c r="B238" s="2"/>
      <c r="C238" s="2"/>
      <c r="D238" s="2"/>
      <c r="E238" s="2"/>
      <c r="F238" s="13"/>
      <c r="G238" s="2"/>
      <c r="H238" s="2"/>
      <c r="I238" s="13"/>
      <c r="J238" s="13"/>
      <c r="K238" s="2"/>
      <c r="L238" s="8"/>
      <c r="M238" s="2"/>
      <c r="N238" s="2"/>
      <c r="O238" s="2"/>
      <c r="P238" s="2"/>
      <c r="Q238" s="2"/>
    </row>
    <row r="239" spans="1:17" x14ac:dyDescent="0.25">
      <c r="A239" s="2"/>
      <c r="B239" s="2"/>
      <c r="C239" s="2"/>
      <c r="D239" s="2"/>
      <c r="E239" s="2"/>
      <c r="F239" s="13"/>
      <c r="G239" s="2"/>
      <c r="H239" s="2"/>
      <c r="I239" s="13"/>
      <c r="J239" s="13"/>
      <c r="K239" s="2"/>
      <c r="L239" s="8"/>
      <c r="M239" s="2"/>
      <c r="N239" s="2"/>
      <c r="O239" s="2"/>
      <c r="P239" s="2"/>
      <c r="Q239" s="2"/>
    </row>
    <row r="240" spans="1:17" x14ac:dyDescent="0.25">
      <c r="A240" s="2"/>
      <c r="B240" s="2"/>
      <c r="C240" s="2"/>
      <c r="D240" s="2"/>
      <c r="E240" s="2"/>
      <c r="F240" s="13"/>
      <c r="G240" s="2"/>
      <c r="H240" s="2"/>
      <c r="I240" s="13"/>
      <c r="J240" s="13"/>
      <c r="K240" s="2"/>
      <c r="L240" s="8"/>
      <c r="M240" s="2"/>
      <c r="N240" s="2"/>
      <c r="O240" s="2"/>
      <c r="P240" s="2"/>
      <c r="Q240" s="2"/>
    </row>
    <row r="241" spans="1:17" x14ac:dyDescent="0.25">
      <c r="A241" s="2"/>
      <c r="B241" s="2"/>
      <c r="C241" s="2"/>
      <c r="D241" s="2"/>
      <c r="E241" s="2"/>
      <c r="F241" s="13"/>
      <c r="G241" s="2"/>
      <c r="H241" s="2"/>
      <c r="I241" s="13"/>
      <c r="J241" s="13"/>
      <c r="K241" s="2"/>
      <c r="L241" s="8"/>
      <c r="M241" s="2"/>
      <c r="N241" s="2"/>
      <c r="O241" s="2"/>
      <c r="P241" s="2"/>
      <c r="Q241" s="2"/>
    </row>
    <row r="242" spans="1:17" x14ac:dyDescent="0.25">
      <c r="A242" s="2"/>
      <c r="B242" s="2"/>
      <c r="C242" s="2"/>
      <c r="D242" s="2"/>
      <c r="E242" s="2"/>
      <c r="F242" s="13"/>
      <c r="G242" s="2"/>
      <c r="H242" s="2"/>
      <c r="I242" s="13"/>
      <c r="J242" s="13"/>
      <c r="K242" s="2"/>
      <c r="L242" s="8"/>
      <c r="M242" s="2"/>
      <c r="N242" s="2"/>
      <c r="O242" s="2"/>
      <c r="P242" s="2"/>
      <c r="Q242" s="2"/>
    </row>
    <row r="243" spans="1:17" x14ac:dyDescent="0.25">
      <c r="A243" s="2"/>
      <c r="B243" s="2"/>
      <c r="C243" s="2"/>
      <c r="D243" s="2"/>
      <c r="E243" s="2"/>
      <c r="F243" s="13"/>
      <c r="G243" s="2"/>
      <c r="H243" s="2"/>
      <c r="I243" s="13"/>
      <c r="J243" s="13"/>
      <c r="K243" s="2"/>
      <c r="L243" s="8"/>
      <c r="M243" s="2"/>
      <c r="N243" s="2"/>
      <c r="O243" s="2"/>
      <c r="P243" s="2"/>
      <c r="Q243" s="2"/>
    </row>
    <row r="244" spans="1:17" x14ac:dyDescent="0.25">
      <c r="A244" s="2"/>
      <c r="B244" s="2"/>
      <c r="C244" s="2"/>
      <c r="D244" s="2"/>
      <c r="E244" s="2"/>
      <c r="F244" s="13"/>
      <c r="G244" s="2"/>
      <c r="H244" s="2"/>
      <c r="I244" s="13"/>
      <c r="J244" s="13"/>
      <c r="K244" s="2"/>
      <c r="L244" s="8"/>
      <c r="M244" s="2"/>
      <c r="N244" s="2"/>
      <c r="O244" s="2"/>
      <c r="P244" s="2"/>
      <c r="Q244" s="2"/>
    </row>
    <row r="245" spans="1:17" x14ac:dyDescent="0.25">
      <c r="A245" s="2"/>
      <c r="B245" s="2"/>
      <c r="C245" s="2"/>
      <c r="D245" s="2"/>
      <c r="E245" s="2"/>
      <c r="F245" s="13"/>
      <c r="G245" s="2"/>
      <c r="H245" s="2"/>
      <c r="I245" s="13"/>
      <c r="J245" s="13"/>
      <c r="K245" s="2"/>
      <c r="L245" s="8"/>
      <c r="M245" s="2"/>
      <c r="N245" s="2"/>
      <c r="O245" s="2"/>
      <c r="P245" s="2"/>
      <c r="Q245" s="2"/>
    </row>
    <row r="246" spans="1:17" x14ac:dyDescent="0.25">
      <c r="A246" s="2"/>
      <c r="B246" s="2"/>
      <c r="C246" s="2"/>
      <c r="D246" s="2"/>
      <c r="E246" s="2"/>
      <c r="F246" s="13"/>
      <c r="G246" s="2"/>
      <c r="H246" s="2"/>
      <c r="I246" s="13"/>
      <c r="J246" s="13"/>
      <c r="K246" s="2"/>
      <c r="L246" s="8"/>
      <c r="M246" s="2"/>
      <c r="N246" s="2"/>
      <c r="O246" s="2"/>
      <c r="P246" s="2"/>
      <c r="Q246" s="2"/>
    </row>
    <row r="247" spans="1:17" x14ac:dyDescent="0.25">
      <c r="A247" s="2"/>
      <c r="B247" s="2"/>
      <c r="C247" s="2"/>
      <c r="D247" s="2"/>
      <c r="E247" s="2"/>
      <c r="F247" s="13"/>
      <c r="G247" s="2"/>
      <c r="H247" s="2"/>
      <c r="I247" s="13"/>
      <c r="J247" s="13"/>
      <c r="K247" s="2"/>
      <c r="L247" s="8"/>
      <c r="M247" s="2"/>
      <c r="N247" s="2"/>
      <c r="O247" s="2"/>
      <c r="P247" s="2"/>
      <c r="Q247" s="2"/>
    </row>
    <row r="248" spans="1:17" x14ac:dyDescent="0.25">
      <c r="A248" s="2"/>
      <c r="B248" s="2"/>
      <c r="C248" s="2"/>
      <c r="D248" s="2"/>
      <c r="E248" s="2"/>
      <c r="F248" s="13"/>
      <c r="G248" s="2"/>
      <c r="H248" s="2"/>
      <c r="I248" s="13"/>
      <c r="J248" s="13"/>
      <c r="K248" s="2"/>
      <c r="L248" s="8"/>
      <c r="M248" s="2"/>
      <c r="N248" s="2"/>
      <c r="O248" s="2"/>
      <c r="P248" s="2"/>
      <c r="Q248" s="2"/>
    </row>
    <row r="249" spans="1:17" x14ac:dyDescent="0.25">
      <c r="A249" s="2"/>
      <c r="B249" s="2"/>
      <c r="C249" s="2"/>
      <c r="D249" s="2"/>
      <c r="E249" s="2"/>
      <c r="F249" s="13"/>
      <c r="G249" s="2"/>
      <c r="H249" s="2"/>
      <c r="I249" s="13"/>
      <c r="J249" s="13"/>
      <c r="K249" s="2"/>
      <c r="L249" s="8"/>
      <c r="M249" s="2"/>
      <c r="N249" s="2"/>
      <c r="O249" s="2"/>
      <c r="P249" s="2"/>
      <c r="Q249" s="2"/>
    </row>
    <row r="250" spans="1:17" x14ac:dyDescent="0.25">
      <c r="A250" s="2"/>
      <c r="B250" s="2"/>
      <c r="C250" s="2"/>
      <c r="D250" s="2"/>
      <c r="E250" s="2"/>
      <c r="F250" s="13"/>
      <c r="G250" s="2"/>
      <c r="H250" s="2"/>
      <c r="I250" s="13"/>
      <c r="J250" s="13"/>
      <c r="K250" s="2"/>
      <c r="L250" s="8"/>
      <c r="M250" s="2"/>
      <c r="N250" s="2"/>
      <c r="O250" s="2"/>
      <c r="P250" s="2"/>
      <c r="Q250" s="2"/>
    </row>
    <row r="251" spans="1:17" x14ac:dyDescent="0.25">
      <c r="A251" s="2"/>
      <c r="B251" s="2"/>
      <c r="C251" s="2"/>
      <c r="D251" s="2"/>
      <c r="E251" s="2"/>
      <c r="F251" s="13"/>
      <c r="G251" s="2"/>
      <c r="H251" s="2"/>
      <c r="I251" s="13"/>
      <c r="J251" s="13"/>
      <c r="K251" s="2"/>
      <c r="L251" s="8"/>
      <c r="M251" s="2"/>
      <c r="N251" s="2"/>
      <c r="O251" s="2"/>
      <c r="P251" s="2"/>
      <c r="Q251" s="2"/>
    </row>
    <row r="252" spans="1:17" x14ac:dyDescent="0.25">
      <c r="A252" s="2"/>
      <c r="B252" s="2"/>
      <c r="C252" s="2"/>
      <c r="D252" s="2"/>
      <c r="E252" s="2"/>
      <c r="F252" s="13"/>
      <c r="G252" s="2"/>
      <c r="H252" s="2"/>
      <c r="I252" s="13"/>
      <c r="J252" s="13"/>
      <c r="K252" s="2"/>
      <c r="L252" s="8"/>
      <c r="M252" s="2"/>
      <c r="N252" s="2"/>
      <c r="O252" s="2"/>
      <c r="P252" s="2"/>
      <c r="Q252" s="2"/>
    </row>
    <row r="253" spans="1:17" x14ac:dyDescent="0.25">
      <c r="A253" s="2"/>
      <c r="B253" s="2"/>
      <c r="C253" s="2"/>
      <c r="D253" s="2"/>
      <c r="E253" s="2"/>
      <c r="F253" s="13"/>
      <c r="G253" s="2"/>
      <c r="H253" s="2"/>
      <c r="I253" s="13"/>
      <c r="J253" s="13"/>
      <c r="K253" s="2"/>
      <c r="L253" s="8"/>
      <c r="M253" s="2"/>
      <c r="N253" s="2"/>
      <c r="O253" s="2"/>
      <c r="P253" s="2"/>
      <c r="Q253" s="2"/>
    </row>
    <row r="254" spans="1:17" x14ac:dyDescent="0.25">
      <c r="A254" s="2"/>
      <c r="B254" s="2"/>
      <c r="C254" s="2"/>
      <c r="D254" s="2"/>
      <c r="E254" s="2"/>
      <c r="F254" s="13"/>
      <c r="G254" s="2"/>
      <c r="H254" s="2"/>
      <c r="I254" s="13"/>
      <c r="J254" s="13"/>
      <c r="K254" s="2"/>
      <c r="L254" s="8"/>
      <c r="M254" s="2"/>
      <c r="N254" s="2"/>
      <c r="O254" s="2"/>
      <c r="P254" s="2"/>
      <c r="Q254" s="2"/>
    </row>
    <row r="255" spans="1:17" x14ac:dyDescent="0.25">
      <c r="A255" s="2"/>
      <c r="B255" s="2"/>
      <c r="C255" s="2"/>
      <c r="D255" s="2"/>
      <c r="E255" s="2"/>
      <c r="F255" s="13"/>
      <c r="G255" s="2"/>
      <c r="H255" s="2"/>
      <c r="I255" s="13"/>
      <c r="J255" s="13"/>
      <c r="K255" s="2"/>
      <c r="L255" s="8"/>
      <c r="M255" s="2"/>
      <c r="N255" s="2"/>
      <c r="O255" s="2"/>
      <c r="P255" s="2"/>
      <c r="Q255" s="2"/>
    </row>
    <row r="256" spans="1:17" x14ac:dyDescent="0.25">
      <c r="A256" s="2"/>
      <c r="B256" s="2"/>
      <c r="C256" s="2"/>
      <c r="D256" s="2"/>
      <c r="E256" s="2"/>
      <c r="F256" s="13"/>
      <c r="G256" s="2"/>
      <c r="H256" s="2"/>
      <c r="I256" s="13"/>
      <c r="J256" s="13"/>
      <c r="K256" s="2"/>
      <c r="L256" s="8"/>
      <c r="M256" s="2"/>
      <c r="N256" s="2"/>
      <c r="O256" s="2"/>
      <c r="P256" s="2"/>
      <c r="Q256" s="2"/>
    </row>
    <row r="257" spans="1:17" x14ac:dyDescent="0.25">
      <c r="A257" s="2"/>
      <c r="B257" s="2"/>
      <c r="C257" s="2"/>
      <c r="D257" s="2"/>
      <c r="E257" s="2"/>
      <c r="F257" s="13"/>
      <c r="G257" s="2"/>
      <c r="H257" s="2"/>
      <c r="I257" s="13"/>
      <c r="J257" s="13"/>
      <c r="K257" s="2"/>
      <c r="L257" s="8"/>
      <c r="M257" s="2"/>
      <c r="N257" s="2"/>
      <c r="O257" s="2"/>
      <c r="P257" s="2"/>
      <c r="Q257" s="2"/>
    </row>
    <row r="258" spans="1:17" x14ac:dyDescent="0.25">
      <c r="A258" s="2"/>
      <c r="B258" s="2"/>
      <c r="C258" s="2"/>
      <c r="D258" s="2"/>
      <c r="E258" s="2"/>
      <c r="F258" s="13"/>
      <c r="G258" s="2"/>
      <c r="H258" s="2"/>
      <c r="I258" s="13"/>
      <c r="J258" s="13"/>
      <c r="K258" s="2"/>
      <c r="L258" s="8"/>
      <c r="M258" s="2"/>
      <c r="N258" s="2"/>
      <c r="O258" s="2"/>
      <c r="P258" s="2"/>
      <c r="Q258" s="2"/>
    </row>
    <row r="259" spans="1:17" x14ac:dyDescent="0.25">
      <c r="A259" s="2"/>
      <c r="B259" s="2"/>
      <c r="C259" s="2"/>
      <c r="D259" s="2"/>
      <c r="E259" s="2"/>
      <c r="F259" s="13"/>
      <c r="G259" s="2"/>
      <c r="H259" s="2"/>
      <c r="I259" s="13"/>
      <c r="J259" s="13"/>
      <c r="K259" s="2"/>
      <c r="L259" s="8"/>
      <c r="M259" s="2"/>
      <c r="N259" s="2"/>
      <c r="O259" s="2"/>
      <c r="P259" s="2"/>
      <c r="Q259" s="2"/>
    </row>
    <row r="260" spans="1:17" x14ac:dyDescent="0.25">
      <c r="A260" s="2"/>
      <c r="B260" s="2"/>
      <c r="C260" s="2"/>
      <c r="D260" s="2"/>
      <c r="E260" s="2"/>
      <c r="F260" s="13"/>
      <c r="G260" s="2"/>
      <c r="H260" s="2"/>
      <c r="I260" s="13"/>
      <c r="J260" s="13"/>
      <c r="K260" s="2"/>
      <c r="L260" s="8"/>
      <c r="M260" s="2"/>
      <c r="N260" s="2"/>
      <c r="O260" s="2"/>
      <c r="P260" s="2"/>
      <c r="Q260" s="2"/>
    </row>
    <row r="261" spans="1:17" x14ac:dyDescent="0.25">
      <c r="A261" s="2"/>
      <c r="B261" s="2"/>
      <c r="C261" s="2"/>
      <c r="D261" s="2"/>
      <c r="E261" s="2"/>
      <c r="F261" s="13"/>
      <c r="G261" s="2"/>
      <c r="H261" s="2"/>
      <c r="I261" s="13"/>
      <c r="J261" s="13"/>
      <c r="K261" s="2"/>
      <c r="L261" s="8"/>
      <c r="M261" s="2"/>
      <c r="N261" s="2"/>
      <c r="O261" s="2"/>
      <c r="P261" s="2"/>
      <c r="Q261" s="2"/>
    </row>
    <row r="262" spans="1:17" x14ac:dyDescent="0.25">
      <c r="A262" s="2"/>
      <c r="B262" s="2"/>
      <c r="C262" s="2"/>
      <c r="D262" s="2"/>
      <c r="E262" s="2"/>
      <c r="F262" s="13"/>
      <c r="G262" s="2"/>
      <c r="H262" s="2"/>
      <c r="I262" s="13"/>
      <c r="J262" s="13"/>
      <c r="K262" s="2"/>
      <c r="L262" s="8"/>
      <c r="M262" s="2"/>
      <c r="N262" s="2"/>
      <c r="O262" s="2"/>
      <c r="P262" s="2"/>
      <c r="Q262" s="2"/>
    </row>
    <row r="263" spans="1:17" x14ac:dyDescent="0.25">
      <c r="A263" s="2"/>
      <c r="B263" s="2"/>
      <c r="C263" s="2"/>
      <c r="D263" s="2"/>
      <c r="E263" s="2"/>
      <c r="F263" s="13"/>
      <c r="G263" s="2"/>
      <c r="H263" s="2"/>
      <c r="I263" s="13"/>
      <c r="J263" s="13"/>
      <c r="K263" s="2"/>
      <c r="L263" s="8"/>
      <c r="M263" s="2"/>
      <c r="N263" s="2"/>
      <c r="O263" s="2"/>
      <c r="P263" s="2"/>
      <c r="Q263" s="2"/>
    </row>
    <row r="264" spans="1:17" x14ac:dyDescent="0.25">
      <c r="A264" s="2"/>
      <c r="B264" s="2"/>
      <c r="C264" s="2"/>
      <c r="D264" s="2"/>
      <c r="E264" s="2"/>
      <c r="F264" s="13"/>
      <c r="G264" s="2"/>
      <c r="H264" s="2"/>
      <c r="I264" s="13"/>
      <c r="J264" s="13"/>
      <c r="K264" s="2"/>
      <c r="L264" s="8"/>
      <c r="M264" s="2"/>
      <c r="N264" s="2"/>
      <c r="O264" s="2"/>
      <c r="P264" s="2"/>
      <c r="Q264" s="2"/>
    </row>
    <row r="265" spans="1:17" x14ac:dyDescent="0.25">
      <c r="A265" s="2"/>
      <c r="B265" s="2"/>
      <c r="C265" s="2"/>
      <c r="D265" s="2"/>
      <c r="E265" s="2"/>
      <c r="F265" s="13"/>
      <c r="G265" s="2"/>
      <c r="H265" s="2"/>
      <c r="I265" s="13"/>
      <c r="J265" s="13"/>
      <c r="K265" s="2"/>
      <c r="L265" s="8"/>
      <c r="M265" s="2"/>
      <c r="N265" s="2"/>
      <c r="O265" s="2"/>
      <c r="P265" s="2"/>
      <c r="Q265" s="2"/>
    </row>
    <row r="266" spans="1:17" x14ac:dyDescent="0.25">
      <c r="A266" s="2"/>
      <c r="B266" s="2"/>
      <c r="C266" s="2"/>
      <c r="D266" s="2"/>
      <c r="E266" s="2"/>
      <c r="F266" s="13"/>
      <c r="G266" s="2"/>
      <c r="H266" s="2"/>
      <c r="I266" s="13"/>
      <c r="J266" s="13"/>
      <c r="K266" s="2"/>
      <c r="L266" s="8"/>
      <c r="M266" s="2"/>
      <c r="N266" s="2"/>
      <c r="O266" s="2"/>
      <c r="P266" s="2"/>
      <c r="Q266" s="2"/>
    </row>
    <row r="267" spans="1:17" x14ac:dyDescent="0.25">
      <c r="A267" s="2"/>
      <c r="B267" s="2"/>
      <c r="C267" s="2"/>
      <c r="D267" s="2"/>
      <c r="E267" s="2"/>
      <c r="F267" s="13"/>
      <c r="G267" s="2"/>
      <c r="H267" s="2"/>
      <c r="I267" s="13"/>
      <c r="J267" s="13"/>
      <c r="K267" s="2"/>
      <c r="L267" s="8"/>
      <c r="M267" s="2"/>
      <c r="N267" s="2"/>
      <c r="O267" s="2"/>
      <c r="P267" s="2"/>
      <c r="Q267" s="2"/>
    </row>
    <row r="268" spans="1:17" x14ac:dyDescent="0.25">
      <c r="A268" s="2"/>
      <c r="B268" s="2"/>
      <c r="C268" s="2"/>
      <c r="D268" s="2"/>
      <c r="E268" s="2"/>
      <c r="F268" s="13"/>
      <c r="G268" s="2"/>
      <c r="H268" s="2"/>
      <c r="I268" s="13"/>
      <c r="J268" s="13"/>
      <c r="K268" s="2"/>
      <c r="L268" s="8"/>
      <c r="M268" s="2"/>
      <c r="N268" s="2"/>
      <c r="O268" s="2"/>
      <c r="P268" s="2"/>
      <c r="Q268" s="2"/>
    </row>
    <row r="269" spans="1:17" x14ac:dyDescent="0.25">
      <c r="A269" s="2"/>
      <c r="B269" s="2"/>
      <c r="C269" s="2"/>
      <c r="D269" s="2"/>
      <c r="E269" s="2"/>
      <c r="F269" s="13"/>
      <c r="G269" s="2"/>
      <c r="H269" s="2"/>
      <c r="I269" s="13"/>
      <c r="J269" s="13"/>
      <c r="K269" s="2"/>
      <c r="L269" s="8"/>
      <c r="M269" s="2"/>
      <c r="N269" s="2"/>
      <c r="O269" s="2"/>
      <c r="P269" s="2"/>
      <c r="Q269" s="2"/>
    </row>
    <row r="270" spans="1:17" x14ac:dyDescent="0.25">
      <c r="A270" s="2"/>
      <c r="B270" s="2"/>
      <c r="C270" s="2"/>
      <c r="D270" s="2"/>
      <c r="E270" s="2"/>
      <c r="F270" s="13"/>
      <c r="G270" s="2"/>
      <c r="H270" s="2"/>
      <c r="I270" s="13"/>
      <c r="J270" s="13"/>
      <c r="K270" s="2"/>
      <c r="L270" s="8"/>
      <c r="M270" s="2"/>
      <c r="N270" s="2"/>
      <c r="O270" s="2"/>
      <c r="P270" s="2"/>
      <c r="Q270" s="2"/>
    </row>
    <row r="271" spans="1:17" x14ac:dyDescent="0.25">
      <c r="A271" s="2"/>
      <c r="B271" s="2"/>
      <c r="C271" s="2"/>
      <c r="D271" s="2"/>
      <c r="E271" s="2"/>
      <c r="F271" s="13"/>
      <c r="G271" s="2"/>
      <c r="H271" s="2"/>
      <c r="I271" s="13"/>
      <c r="J271" s="13"/>
      <c r="K271" s="2"/>
      <c r="L271" s="8"/>
      <c r="M271" s="2"/>
      <c r="N271" s="2"/>
      <c r="O271" s="2"/>
      <c r="P271" s="2"/>
      <c r="Q271" s="2"/>
    </row>
    <row r="272" spans="1:17" x14ac:dyDescent="0.25">
      <c r="A272" s="2"/>
      <c r="B272" s="2"/>
      <c r="C272" s="2"/>
      <c r="D272" s="2"/>
      <c r="E272" s="2"/>
      <c r="F272" s="13"/>
      <c r="G272" s="2"/>
      <c r="H272" s="2"/>
      <c r="I272" s="13"/>
      <c r="J272" s="13"/>
      <c r="K272" s="2"/>
      <c r="L272" s="8"/>
      <c r="M272" s="2"/>
      <c r="N272" s="2"/>
      <c r="O272" s="2"/>
      <c r="P272" s="2"/>
      <c r="Q272" s="2"/>
    </row>
    <row r="273" spans="1:17" x14ac:dyDescent="0.25">
      <c r="A273" s="2"/>
      <c r="B273" s="2"/>
      <c r="C273" s="2"/>
      <c r="D273" s="2"/>
      <c r="E273" s="2"/>
      <c r="F273" s="13"/>
      <c r="G273" s="2"/>
      <c r="H273" s="2"/>
      <c r="I273" s="13"/>
      <c r="J273" s="13"/>
      <c r="K273" s="2"/>
      <c r="L273" s="8"/>
      <c r="M273" s="2"/>
      <c r="N273" s="2"/>
      <c r="O273" s="2"/>
      <c r="P273" s="2"/>
      <c r="Q273" s="2"/>
    </row>
    <row r="274" spans="1:17" x14ac:dyDescent="0.25">
      <c r="A274" s="2"/>
      <c r="B274" s="2"/>
      <c r="C274" s="2"/>
      <c r="D274" s="2"/>
      <c r="E274" s="2"/>
      <c r="F274" s="13"/>
      <c r="G274" s="2"/>
      <c r="H274" s="2"/>
      <c r="I274" s="13"/>
      <c r="J274" s="13"/>
      <c r="K274" s="2"/>
      <c r="L274" s="8"/>
      <c r="M274" s="2"/>
      <c r="N274" s="2"/>
      <c r="O274" s="2"/>
      <c r="P274" s="2"/>
      <c r="Q274" s="2"/>
    </row>
    <row r="275" spans="1:17" x14ac:dyDescent="0.25">
      <c r="A275" s="2"/>
      <c r="B275" s="2"/>
      <c r="C275" s="2"/>
      <c r="D275" s="2"/>
      <c r="E275" s="2"/>
      <c r="F275" s="13"/>
      <c r="G275" s="2"/>
      <c r="H275" s="2"/>
      <c r="I275" s="13"/>
      <c r="J275" s="13"/>
      <c r="K275" s="2"/>
      <c r="L275" s="8"/>
      <c r="M275" s="2"/>
      <c r="N275" s="2"/>
      <c r="O275" s="2"/>
      <c r="P275" s="2"/>
      <c r="Q275" s="2"/>
    </row>
    <row r="276" spans="1:17" x14ac:dyDescent="0.25">
      <c r="A276" s="2"/>
      <c r="B276" s="2"/>
      <c r="C276" s="2"/>
      <c r="D276" s="2"/>
      <c r="E276" s="2"/>
      <c r="F276" s="13"/>
      <c r="G276" s="2"/>
      <c r="H276" s="2"/>
      <c r="I276" s="13"/>
      <c r="J276" s="13"/>
      <c r="K276" s="2"/>
      <c r="L276" s="8"/>
      <c r="M276" s="2"/>
      <c r="N276" s="2"/>
      <c r="O276" s="2"/>
      <c r="P276" s="2"/>
      <c r="Q276" s="2"/>
    </row>
    <row r="277" spans="1:17" x14ac:dyDescent="0.25">
      <c r="A277" s="2"/>
      <c r="B277" s="2"/>
      <c r="C277" s="2"/>
      <c r="D277" s="2"/>
      <c r="E277" s="2"/>
      <c r="F277" s="13"/>
      <c r="G277" s="2"/>
      <c r="H277" s="2"/>
      <c r="I277" s="13"/>
      <c r="J277" s="13"/>
      <c r="K277" s="2"/>
      <c r="L277" s="8"/>
      <c r="M277" s="2"/>
      <c r="N277" s="2"/>
      <c r="O277" s="2"/>
      <c r="P277" s="2"/>
      <c r="Q277" s="2"/>
    </row>
    <row r="278" spans="1:17" x14ac:dyDescent="0.25">
      <c r="A278" s="2"/>
      <c r="B278" s="2"/>
      <c r="C278" s="2"/>
      <c r="D278" s="2"/>
      <c r="E278" s="2"/>
      <c r="F278" s="13"/>
      <c r="G278" s="2"/>
      <c r="H278" s="2"/>
      <c r="I278" s="13"/>
      <c r="J278" s="13"/>
      <c r="K278" s="2"/>
      <c r="L278" s="8"/>
      <c r="M278" s="2"/>
      <c r="N278" s="2"/>
      <c r="O278" s="2"/>
      <c r="P278" s="2"/>
      <c r="Q278" s="2"/>
    </row>
    <row r="279" spans="1:17" x14ac:dyDescent="0.25">
      <c r="A279" s="2"/>
      <c r="B279" s="2"/>
      <c r="C279" s="2"/>
      <c r="D279" s="2"/>
      <c r="E279" s="2"/>
      <c r="F279" s="13"/>
      <c r="G279" s="2"/>
      <c r="H279" s="2"/>
      <c r="I279" s="13"/>
      <c r="J279" s="13"/>
      <c r="K279" s="2"/>
      <c r="L279" s="8"/>
      <c r="M279" s="2"/>
      <c r="N279" s="2"/>
      <c r="O279" s="2"/>
      <c r="P279" s="2"/>
      <c r="Q279" s="2"/>
    </row>
    <row r="280" spans="1:17" x14ac:dyDescent="0.25">
      <c r="A280" s="2"/>
      <c r="B280" s="2"/>
      <c r="C280" s="2"/>
      <c r="D280" s="2"/>
      <c r="E280" s="2"/>
      <c r="F280" s="13"/>
      <c r="G280" s="2"/>
      <c r="H280" s="2"/>
      <c r="I280" s="13"/>
      <c r="J280" s="13"/>
      <c r="K280" s="2"/>
      <c r="L280" s="8"/>
      <c r="M280" s="2"/>
      <c r="N280" s="2"/>
      <c r="O280" s="2"/>
      <c r="P280" s="2"/>
      <c r="Q280" s="2"/>
    </row>
    <row r="281" spans="1:17" x14ac:dyDescent="0.25">
      <c r="A281" s="2"/>
      <c r="B281" s="2"/>
      <c r="C281" s="2"/>
      <c r="D281" s="2"/>
      <c r="E281" s="2"/>
      <c r="F281" s="13"/>
      <c r="G281" s="2"/>
      <c r="H281" s="2"/>
      <c r="I281" s="13"/>
      <c r="J281" s="13"/>
      <c r="K281" s="2"/>
      <c r="L281" s="8"/>
      <c r="M281" s="2"/>
      <c r="N281" s="2"/>
      <c r="O281" s="2"/>
      <c r="P281" s="2"/>
      <c r="Q281" s="2"/>
    </row>
    <row r="282" spans="1:17" x14ac:dyDescent="0.25">
      <c r="A282" s="2"/>
      <c r="B282" s="2"/>
      <c r="C282" s="2"/>
      <c r="D282" s="2"/>
      <c r="E282" s="2"/>
      <c r="F282" s="13"/>
      <c r="G282" s="2"/>
      <c r="H282" s="2"/>
      <c r="I282" s="13"/>
      <c r="J282" s="13"/>
      <c r="K282" s="2"/>
      <c r="L282" s="8"/>
      <c r="M282" s="2"/>
      <c r="N282" s="2"/>
      <c r="O282" s="2"/>
      <c r="P282" s="2"/>
      <c r="Q282" s="2"/>
    </row>
    <row r="283" spans="1:17" x14ac:dyDescent="0.25">
      <c r="A283" s="2"/>
      <c r="B283" s="2"/>
      <c r="C283" s="2"/>
      <c r="D283" s="2"/>
      <c r="E283" s="2"/>
      <c r="F283" s="13"/>
      <c r="G283" s="2"/>
      <c r="H283" s="2"/>
      <c r="I283" s="13"/>
      <c r="J283" s="13"/>
      <c r="K283" s="2"/>
      <c r="L283" s="8"/>
      <c r="M283" s="2"/>
      <c r="N283" s="2"/>
      <c r="O283" s="2"/>
      <c r="P283" s="2"/>
      <c r="Q283" s="2"/>
    </row>
    <row r="284" spans="1:17" x14ac:dyDescent="0.25">
      <c r="A284" s="2"/>
      <c r="B284" s="2"/>
      <c r="C284" s="2"/>
      <c r="D284" s="2"/>
      <c r="E284" s="2"/>
      <c r="F284" s="13"/>
      <c r="G284" s="2"/>
      <c r="H284" s="2"/>
      <c r="I284" s="13"/>
      <c r="J284" s="13"/>
      <c r="K284" s="2"/>
      <c r="L284" s="8"/>
      <c r="M284" s="2"/>
      <c r="N284" s="2"/>
      <c r="O284" s="2"/>
      <c r="P284" s="2"/>
      <c r="Q284" s="2"/>
    </row>
    <row r="285" spans="1:17" x14ac:dyDescent="0.25">
      <c r="A285" s="2"/>
      <c r="B285" s="2"/>
      <c r="C285" s="2"/>
      <c r="D285" s="2"/>
      <c r="E285" s="2"/>
      <c r="F285" s="13"/>
      <c r="G285" s="2"/>
      <c r="H285" s="2"/>
      <c r="I285" s="13"/>
      <c r="J285" s="13"/>
      <c r="K285" s="2"/>
      <c r="L285" s="8"/>
      <c r="M285" s="2"/>
      <c r="N285" s="2"/>
      <c r="O285" s="2"/>
      <c r="P285" s="2"/>
      <c r="Q285" s="2"/>
    </row>
    <row r="286" spans="1:17" x14ac:dyDescent="0.25">
      <c r="A286" s="2"/>
      <c r="B286" s="2"/>
      <c r="C286" s="2"/>
      <c r="D286" s="2"/>
      <c r="E286" s="2"/>
      <c r="F286" s="13"/>
      <c r="G286" s="2"/>
      <c r="H286" s="2"/>
      <c r="I286" s="13"/>
      <c r="J286" s="13"/>
      <c r="K286" s="2"/>
      <c r="L286" s="8"/>
      <c r="M286" s="2"/>
      <c r="N286" s="2"/>
      <c r="O286" s="2"/>
      <c r="P286" s="2"/>
      <c r="Q286" s="2"/>
    </row>
    <row r="287" spans="1:17" x14ac:dyDescent="0.25">
      <c r="A287" s="2"/>
      <c r="B287" s="2"/>
      <c r="C287" s="2"/>
      <c r="D287" s="2"/>
      <c r="E287" s="2"/>
      <c r="F287" s="13"/>
      <c r="G287" s="2"/>
      <c r="H287" s="2"/>
      <c r="I287" s="13"/>
      <c r="J287" s="13"/>
      <c r="K287" s="2"/>
      <c r="L287" s="8"/>
      <c r="M287" s="2"/>
      <c r="N287" s="2"/>
      <c r="O287" s="2"/>
      <c r="P287" s="2"/>
      <c r="Q287" s="2"/>
    </row>
    <row r="288" spans="1:17" x14ac:dyDescent="0.25">
      <c r="A288" s="2"/>
      <c r="B288" s="2"/>
      <c r="C288" s="2"/>
      <c r="D288" s="2"/>
      <c r="E288" s="2"/>
      <c r="F288" s="13"/>
      <c r="G288" s="2"/>
      <c r="H288" s="2"/>
      <c r="I288" s="13"/>
      <c r="J288" s="13"/>
      <c r="K288" s="2"/>
      <c r="L288" s="8"/>
      <c r="M288" s="2"/>
      <c r="N288" s="2"/>
      <c r="O288" s="2"/>
      <c r="P288" s="2"/>
      <c r="Q288" s="2"/>
    </row>
    <row r="289" spans="1:17" x14ac:dyDescent="0.25">
      <c r="A289" s="2"/>
      <c r="B289" s="2"/>
      <c r="C289" s="2"/>
      <c r="D289" s="2"/>
      <c r="E289" s="2"/>
      <c r="F289" s="13"/>
      <c r="G289" s="2"/>
      <c r="H289" s="2"/>
      <c r="I289" s="13"/>
      <c r="J289" s="13"/>
      <c r="K289" s="2"/>
      <c r="L289" s="8"/>
      <c r="M289" s="2"/>
      <c r="N289" s="2"/>
      <c r="O289" s="2"/>
      <c r="P289" s="2"/>
      <c r="Q289" s="2"/>
    </row>
    <row r="290" spans="1:17" x14ac:dyDescent="0.25">
      <c r="A290" s="2"/>
      <c r="B290" s="2"/>
      <c r="C290" s="2"/>
      <c r="D290" s="2"/>
      <c r="E290" s="2"/>
      <c r="F290" s="13"/>
      <c r="G290" s="2"/>
      <c r="H290" s="2"/>
      <c r="I290" s="13"/>
      <c r="J290" s="13"/>
      <c r="K290" s="2"/>
      <c r="L290" s="8"/>
      <c r="M290" s="2"/>
      <c r="N290" s="2"/>
      <c r="O290" s="2"/>
      <c r="P290" s="2"/>
      <c r="Q290" s="2"/>
    </row>
    <row r="291" spans="1:17" x14ac:dyDescent="0.25">
      <c r="A291" s="2"/>
      <c r="B291" s="2"/>
      <c r="C291" s="2"/>
      <c r="D291" s="2"/>
      <c r="E291" s="2"/>
      <c r="F291" s="13"/>
      <c r="G291" s="2"/>
      <c r="H291" s="2"/>
      <c r="I291" s="13"/>
      <c r="J291" s="13"/>
      <c r="K291" s="2"/>
      <c r="L291" s="8"/>
      <c r="M291" s="2"/>
      <c r="N291" s="2"/>
      <c r="O291" s="2"/>
      <c r="P291" s="2"/>
      <c r="Q291" s="2"/>
    </row>
    <row r="292" spans="1:17" x14ac:dyDescent="0.25">
      <c r="A292" s="2"/>
      <c r="B292" s="2"/>
      <c r="C292" s="2"/>
      <c r="D292" s="2"/>
      <c r="E292" s="2"/>
      <c r="F292" s="13"/>
      <c r="G292" s="2"/>
      <c r="H292" s="2"/>
      <c r="I292" s="13"/>
      <c r="J292" s="13"/>
      <c r="K292" s="2"/>
      <c r="L292" s="8"/>
      <c r="M292" s="2"/>
      <c r="N292" s="2"/>
      <c r="O292" s="2"/>
      <c r="P292" s="2"/>
      <c r="Q292" s="2"/>
    </row>
    <row r="293" spans="1:17" x14ac:dyDescent="0.25">
      <c r="A293" s="2"/>
      <c r="B293" s="2"/>
      <c r="C293" s="2"/>
      <c r="D293" s="2"/>
      <c r="E293" s="2"/>
      <c r="F293" s="13"/>
      <c r="G293" s="2"/>
      <c r="H293" s="2"/>
      <c r="I293" s="13"/>
      <c r="J293" s="13"/>
      <c r="K293" s="2"/>
      <c r="L293" s="8"/>
      <c r="M293" s="2"/>
      <c r="N293" s="2"/>
      <c r="O293" s="2"/>
      <c r="P293" s="2"/>
      <c r="Q293" s="2"/>
    </row>
    <row r="294" spans="1:17" x14ac:dyDescent="0.25">
      <c r="A294" s="2"/>
      <c r="B294" s="2"/>
      <c r="C294" s="2"/>
      <c r="D294" s="2"/>
      <c r="E294" s="2"/>
      <c r="F294" s="13"/>
      <c r="G294" s="2"/>
      <c r="H294" s="2"/>
      <c r="I294" s="13"/>
      <c r="J294" s="13"/>
      <c r="K294" s="2"/>
      <c r="L294" s="8"/>
      <c r="M294" s="2"/>
      <c r="N294" s="2"/>
      <c r="O294" s="2"/>
      <c r="P294" s="2"/>
      <c r="Q294" s="2"/>
    </row>
    <row r="295" spans="1:17" x14ac:dyDescent="0.25">
      <c r="A295" s="2"/>
      <c r="B295" s="2"/>
      <c r="C295" s="2"/>
      <c r="D295" s="2"/>
      <c r="E295" s="2"/>
      <c r="F295" s="13"/>
      <c r="G295" s="2"/>
      <c r="H295" s="2"/>
      <c r="I295" s="13"/>
      <c r="J295" s="13"/>
      <c r="K295" s="2"/>
      <c r="L295" s="8"/>
      <c r="M295" s="2"/>
      <c r="N295" s="2"/>
      <c r="O295" s="2"/>
      <c r="P295" s="2"/>
      <c r="Q295" s="2"/>
    </row>
    <row r="296" spans="1:17" x14ac:dyDescent="0.25">
      <c r="A296" s="2"/>
      <c r="B296" s="2"/>
      <c r="C296" s="2"/>
      <c r="D296" s="2"/>
      <c r="E296" s="2"/>
      <c r="F296" s="13"/>
      <c r="G296" s="2"/>
      <c r="H296" s="2"/>
      <c r="I296" s="13"/>
      <c r="J296" s="13"/>
      <c r="K296" s="2"/>
      <c r="L296" s="8"/>
      <c r="M296" s="2"/>
      <c r="N296" s="2"/>
      <c r="O296" s="2"/>
      <c r="P296" s="2"/>
      <c r="Q296" s="2"/>
    </row>
    <row r="297" spans="1:17" x14ac:dyDescent="0.25">
      <c r="A297" s="2"/>
      <c r="B297" s="2"/>
      <c r="C297" s="2"/>
      <c r="D297" s="2"/>
      <c r="E297" s="2"/>
      <c r="F297" s="13"/>
      <c r="G297" s="2"/>
      <c r="H297" s="2"/>
      <c r="I297" s="13"/>
      <c r="J297" s="13"/>
      <c r="K297" s="2"/>
      <c r="L297" s="8"/>
      <c r="M297" s="2"/>
      <c r="N297" s="2"/>
      <c r="O297" s="2"/>
      <c r="P297" s="2"/>
      <c r="Q297" s="2"/>
    </row>
    <row r="298" spans="1:17" x14ac:dyDescent="0.25">
      <c r="A298" s="2"/>
      <c r="B298" s="2"/>
      <c r="C298" s="2"/>
      <c r="D298" s="2"/>
      <c r="E298" s="2"/>
      <c r="F298" s="13"/>
      <c r="G298" s="2"/>
      <c r="H298" s="2"/>
      <c r="I298" s="13"/>
      <c r="J298" s="13"/>
      <c r="K298" s="2"/>
      <c r="L298" s="8"/>
      <c r="M298" s="2"/>
      <c r="N298" s="2"/>
      <c r="O298" s="2"/>
      <c r="P298" s="2"/>
      <c r="Q298" s="2"/>
    </row>
    <row r="299" spans="1:17" x14ac:dyDescent="0.25">
      <c r="A299" s="2"/>
      <c r="B299" s="2"/>
      <c r="C299" s="2"/>
      <c r="D299" s="2"/>
      <c r="E299" s="2"/>
      <c r="F299" s="13"/>
      <c r="G299" s="2"/>
      <c r="H299" s="2"/>
      <c r="I299" s="13"/>
      <c r="J299" s="13"/>
      <c r="K299" s="2"/>
      <c r="L299" s="8"/>
      <c r="M299" s="2"/>
      <c r="N299" s="2"/>
      <c r="O299" s="2"/>
      <c r="P299" s="2"/>
      <c r="Q299" s="2"/>
    </row>
    <row r="300" spans="1:17" x14ac:dyDescent="0.25">
      <c r="A300" s="2"/>
      <c r="B300" s="2"/>
      <c r="C300" s="2"/>
      <c r="D300" s="2"/>
      <c r="E300" s="2"/>
      <c r="F300" s="13"/>
      <c r="G300" s="2"/>
      <c r="H300" s="2"/>
      <c r="I300" s="13"/>
      <c r="J300" s="13"/>
      <c r="K300" s="2"/>
      <c r="L300" s="8"/>
      <c r="M300" s="2"/>
      <c r="N300" s="2"/>
      <c r="O300" s="2"/>
      <c r="P300" s="2"/>
      <c r="Q300" s="2"/>
    </row>
    <row r="301" spans="1:17" x14ac:dyDescent="0.25">
      <c r="A301" s="2"/>
      <c r="B301" s="2"/>
      <c r="C301" s="2"/>
      <c r="D301" s="2"/>
      <c r="E301" s="2"/>
      <c r="F301" s="13"/>
      <c r="G301" s="2"/>
      <c r="H301" s="2"/>
      <c r="I301" s="13"/>
      <c r="J301" s="13"/>
      <c r="K301" s="2"/>
      <c r="L301" s="8"/>
      <c r="M301" s="2"/>
      <c r="N301" s="2"/>
      <c r="O301" s="2"/>
      <c r="P301" s="2"/>
      <c r="Q301" s="2"/>
    </row>
    <row r="302" spans="1:17" x14ac:dyDescent="0.25">
      <c r="A302" s="2"/>
      <c r="B302" s="2"/>
      <c r="C302" s="2"/>
      <c r="D302" s="2"/>
      <c r="E302" s="2"/>
      <c r="F302" s="13"/>
      <c r="G302" s="2"/>
      <c r="H302" s="2"/>
      <c r="I302" s="13"/>
      <c r="J302" s="13"/>
      <c r="K302" s="2"/>
      <c r="L302" s="8"/>
      <c r="M302" s="2"/>
      <c r="N302" s="2"/>
      <c r="O302" s="2"/>
      <c r="P302" s="2"/>
      <c r="Q302" s="2"/>
    </row>
    <row r="303" spans="1:17" x14ac:dyDescent="0.25">
      <c r="A303" s="2"/>
      <c r="B303" s="2"/>
      <c r="C303" s="2"/>
      <c r="D303" s="2"/>
      <c r="E303" s="2"/>
      <c r="F303" s="13"/>
      <c r="G303" s="2"/>
      <c r="H303" s="2"/>
      <c r="I303" s="13"/>
      <c r="J303" s="13"/>
      <c r="K303" s="2"/>
      <c r="L303" s="8"/>
      <c r="M303" s="2"/>
      <c r="N303" s="2"/>
      <c r="O303" s="2"/>
      <c r="P303" s="2"/>
      <c r="Q303" s="2"/>
    </row>
    <row r="304" spans="1:17" x14ac:dyDescent="0.25">
      <c r="A304" s="2"/>
      <c r="B304" s="2"/>
      <c r="C304" s="2"/>
      <c r="D304" s="2"/>
      <c r="E304" s="2"/>
      <c r="F304" s="13"/>
      <c r="G304" s="2"/>
      <c r="H304" s="2"/>
      <c r="I304" s="13"/>
      <c r="J304" s="13"/>
      <c r="K304" s="2"/>
      <c r="L304" s="8"/>
      <c r="M304" s="2"/>
      <c r="N304" s="2"/>
      <c r="O304" s="2"/>
      <c r="P304" s="2"/>
      <c r="Q304" s="2"/>
    </row>
    <row r="305" spans="1:17" x14ac:dyDescent="0.25">
      <c r="A305" s="2"/>
      <c r="B305" s="2"/>
      <c r="C305" s="2"/>
      <c r="D305" s="2"/>
      <c r="E305" s="2"/>
      <c r="F305" s="13"/>
      <c r="G305" s="2"/>
      <c r="H305" s="2"/>
      <c r="I305" s="13"/>
      <c r="J305" s="13"/>
      <c r="K305" s="2"/>
      <c r="L305" s="8"/>
      <c r="M305" s="2"/>
      <c r="N305" s="2"/>
      <c r="O305" s="2"/>
      <c r="P305" s="2"/>
      <c r="Q305" s="2"/>
    </row>
    <row r="306" spans="1:17" x14ac:dyDescent="0.25">
      <c r="A306" s="2"/>
      <c r="B306" s="2"/>
      <c r="C306" s="2"/>
      <c r="D306" s="2"/>
      <c r="E306" s="2"/>
      <c r="F306" s="13"/>
      <c r="G306" s="2"/>
      <c r="H306" s="2"/>
      <c r="I306" s="13"/>
      <c r="J306" s="13"/>
      <c r="K306" s="2"/>
      <c r="L306" s="8"/>
      <c r="M306" s="2"/>
      <c r="N306" s="2"/>
      <c r="O306" s="2"/>
      <c r="P306" s="2"/>
      <c r="Q306" s="2"/>
    </row>
    <row r="307" spans="1:17" x14ac:dyDescent="0.25">
      <c r="A307" s="2"/>
      <c r="B307" s="2"/>
      <c r="C307" s="2"/>
      <c r="D307" s="2"/>
      <c r="E307" s="2"/>
      <c r="F307" s="13"/>
      <c r="G307" s="2"/>
      <c r="H307" s="2"/>
      <c r="I307" s="13"/>
      <c r="J307" s="13"/>
      <c r="K307" s="2"/>
      <c r="L307" s="8"/>
      <c r="M307" s="2"/>
      <c r="N307" s="2"/>
      <c r="O307" s="2"/>
      <c r="P307" s="2"/>
      <c r="Q307" s="2"/>
    </row>
    <row r="308" spans="1:17" x14ac:dyDescent="0.25">
      <c r="A308" s="2"/>
      <c r="B308" s="2"/>
      <c r="C308" s="2"/>
      <c r="D308" s="2"/>
      <c r="E308" s="2"/>
      <c r="F308" s="13"/>
      <c r="G308" s="2"/>
      <c r="H308" s="2"/>
      <c r="I308" s="13"/>
      <c r="J308" s="13"/>
      <c r="K308" s="2"/>
      <c r="L308" s="8"/>
      <c r="M308" s="2"/>
      <c r="N308" s="2"/>
      <c r="O308" s="2"/>
      <c r="P308" s="2"/>
      <c r="Q308" s="2"/>
    </row>
    <row r="309" spans="1:17" x14ac:dyDescent="0.25">
      <c r="A309" s="2"/>
      <c r="B309" s="2"/>
      <c r="C309" s="2"/>
      <c r="D309" s="2"/>
      <c r="E309" s="2"/>
      <c r="F309" s="13"/>
      <c r="G309" s="2"/>
      <c r="H309" s="2"/>
      <c r="I309" s="13"/>
      <c r="J309" s="13"/>
      <c r="K309" s="2"/>
      <c r="L309" s="8"/>
      <c r="M309" s="2"/>
      <c r="N309" s="2"/>
      <c r="O309" s="2"/>
      <c r="P309" s="2"/>
      <c r="Q309" s="2"/>
    </row>
    <row r="310" spans="1:17" x14ac:dyDescent="0.25">
      <c r="A310" s="2"/>
      <c r="B310" s="2"/>
      <c r="C310" s="2"/>
      <c r="D310" s="2"/>
      <c r="E310" s="2"/>
      <c r="F310" s="13"/>
      <c r="G310" s="2"/>
      <c r="H310" s="2"/>
      <c r="I310" s="13"/>
      <c r="J310" s="13"/>
      <c r="K310" s="2"/>
      <c r="L310" s="8"/>
      <c r="M310" s="2"/>
      <c r="N310" s="2"/>
      <c r="O310" s="2"/>
      <c r="P310" s="2"/>
      <c r="Q310" s="2"/>
    </row>
    <row r="311" spans="1:17" x14ac:dyDescent="0.25">
      <c r="A311" s="2"/>
      <c r="B311" s="2"/>
      <c r="C311" s="2"/>
      <c r="D311" s="2"/>
      <c r="E311" s="2"/>
      <c r="F311" s="13"/>
      <c r="G311" s="2"/>
      <c r="H311" s="2"/>
      <c r="I311" s="13"/>
      <c r="J311" s="13"/>
      <c r="K311" s="2"/>
      <c r="L311" s="8"/>
      <c r="M311" s="2"/>
      <c r="N311" s="2"/>
      <c r="O311" s="2"/>
      <c r="P311" s="2"/>
      <c r="Q311" s="2"/>
    </row>
    <row r="312" spans="1:17" x14ac:dyDescent="0.25">
      <c r="A312" s="2"/>
      <c r="B312" s="2"/>
      <c r="C312" s="2"/>
      <c r="D312" s="2"/>
      <c r="E312" s="2"/>
      <c r="F312" s="13"/>
      <c r="G312" s="2"/>
      <c r="H312" s="2"/>
      <c r="I312" s="13"/>
      <c r="J312" s="13"/>
      <c r="K312" s="2"/>
      <c r="L312" s="8"/>
      <c r="M312" s="2"/>
      <c r="N312" s="2"/>
      <c r="O312" s="2"/>
      <c r="P312" s="2"/>
      <c r="Q312" s="2"/>
    </row>
    <row r="313" spans="1:17" x14ac:dyDescent="0.25">
      <c r="A313" s="2"/>
      <c r="B313" s="2"/>
      <c r="C313" s="2"/>
      <c r="D313" s="2"/>
      <c r="E313" s="2"/>
      <c r="F313" s="13"/>
      <c r="G313" s="2"/>
      <c r="H313" s="2"/>
      <c r="I313" s="13"/>
      <c r="J313" s="13"/>
      <c r="K313" s="2"/>
      <c r="L313" s="8"/>
      <c r="M313" s="2"/>
      <c r="N313" s="2"/>
      <c r="O313" s="2"/>
      <c r="P313" s="2"/>
      <c r="Q313" s="2"/>
    </row>
    <row r="314" spans="1:17" x14ac:dyDescent="0.25">
      <c r="A314" s="2"/>
      <c r="B314" s="2"/>
      <c r="C314" s="2"/>
      <c r="D314" s="2"/>
      <c r="E314" s="2"/>
      <c r="F314" s="13"/>
      <c r="G314" s="2"/>
      <c r="H314" s="2"/>
      <c r="I314" s="13"/>
      <c r="J314" s="13"/>
      <c r="K314" s="2"/>
      <c r="L314" s="8"/>
      <c r="M314" s="2"/>
      <c r="N314" s="2"/>
      <c r="O314" s="2"/>
      <c r="P314" s="2"/>
      <c r="Q314" s="2"/>
    </row>
    <row r="315" spans="1:17" x14ac:dyDescent="0.25">
      <c r="A315" s="2"/>
      <c r="B315" s="2"/>
      <c r="C315" s="2"/>
      <c r="D315" s="2"/>
      <c r="E315" s="2"/>
      <c r="F315" s="13"/>
      <c r="G315" s="2"/>
      <c r="H315" s="2"/>
      <c r="I315" s="13"/>
      <c r="J315" s="13"/>
      <c r="K315" s="2"/>
      <c r="L315" s="8"/>
      <c r="M315" s="2"/>
      <c r="N315" s="2"/>
      <c r="O315" s="2"/>
      <c r="P315" s="2"/>
      <c r="Q315" s="2"/>
    </row>
    <row r="316" spans="1:17" x14ac:dyDescent="0.25">
      <c r="A316" s="2"/>
      <c r="B316" s="2"/>
      <c r="C316" s="2"/>
      <c r="D316" s="2"/>
      <c r="E316" s="2"/>
      <c r="F316" s="13"/>
      <c r="G316" s="2"/>
      <c r="H316" s="2"/>
      <c r="I316" s="13"/>
      <c r="J316" s="13"/>
      <c r="K316" s="2"/>
      <c r="L316" s="8"/>
      <c r="M316" s="2"/>
      <c r="N316" s="2"/>
      <c r="O316" s="2"/>
      <c r="P316" s="2"/>
      <c r="Q316" s="2"/>
    </row>
    <row r="317" spans="1:17" x14ac:dyDescent="0.25">
      <c r="A317" s="2"/>
      <c r="B317" s="2"/>
      <c r="C317" s="2"/>
      <c r="D317" s="2"/>
      <c r="E317" s="2"/>
      <c r="F317" s="13"/>
      <c r="G317" s="2"/>
      <c r="H317" s="2"/>
      <c r="I317" s="13"/>
      <c r="J317" s="13"/>
      <c r="K317" s="2"/>
      <c r="L317" s="8"/>
      <c r="M317" s="2"/>
      <c r="N317" s="2"/>
      <c r="O317" s="2"/>
      <c r="P317" s="2"/>
      <c r="Q317" s="2"/>
    </row>
    <row r="318" spans="1:17" x14ac:dyDescent="0.25">
      <c r="A318" s="2"/>
      <c r="B318" s="2"/>
      <c r="C318" s="2"/>
      <c r="D318" s="2"/>
      <c r="E318" s="2"/>
      <c r="F318" s="13"/>
      <c r="G318" s="2"/>
      <c r="H318" s="2"/>
      <c r="I318" s="13"/>
      <c r="J318" s="13"/>
      <c r="K318" s="2"/>
      <c r="L318" s="8"/>
      <c r="M318" s="2"/>
      <c r="N318" s="2"/>
      <c r="O318" s="2"/>
      <c r="P318" s="2"/>
      <c r="Q318" s="2"/>
    </row>
    <row r="319" spans="1:17" x14ac:dyDescent="0.25">
      <c r="A319" s="2"/>
      <c r="B319" s="2"/>
      <c r="C319" s="2"/>
      <c r="D319" s="2"/>
      <c r="E319" s="2"/>
      <c r="F319" s="13"/>
      <c r="G319" s="2"/>
      <c r="H319" s="2"/>
      <c r="I319" s="13"/>
      <c r="J319" s="13"/>
      <c r="K319" s="2"/>
      <c r="L319" s="8"/>
      <c r="M319" s="2"/>
      <c r="N319" s="2"/>
      <c r="O319" s="2"/>
      <c r="P319" s="2"/>
      <c r="Q319" s="2"/>
    </row>
    <row r="320" spans="1:17" x14ac:dyDescent="0.25">
      <c r="A320" s="2"/>
      <c r="B320" s="2"/>
      <c r="C320" s="2"/>
      <c r="D320" s="2"/>
      <c r="E320" s="2"/>
      <c r="F320" s="13"/>
      <c r="G320" s="2"/>
      <c r="H320" s="2"/>
      <c r="I320" s="13"/>
      <c r="J320" s="13"/>
      <c r="K320" s="2"/>
      <c r="L320" s="8"/>
      <c r="M320" s="2"/>
      <c r="N320" s="2"/>
      <c r="O320" s="2"/>
      <c r="P320" s="2"/>
      <c r="Q320" s="2"/>
    </row>
    <row r="321" spans="1:17" x14ac:dyDescent="0.25">
      <c r="A321" s="2"/>
      <c r="B321" s="2"/>
      <c r="C321" s="2"/>
      <c r="D321" s="2"/>
      <c r="E321" s="2"/>
      <c r="F321" s="13"/>
      <c r="G321" s="2"/>
      <c r="H321" s="2"/>
      <c r="I321" s="13"/>
      <c r="J321" s="13"/>
      <c r="K321" s="2"/>
      <c r="L321" s="8"/>
      <c r="M321" s="2"/>
      <c r="N321" s="2"/>
      <c r="O321" s="2"/>
      <c r="P321" s="2"/>
      <c r="Q321" s="2"/>
    </row>
    <row r="322" spans="1:17" x14ac:dyDescent="0.25">
      <c r="A322" s="2"/>
      <c r="B322" s="2"/>
      <c r="C322" s="2"/>
      <c r="D322" s="2"/>
      <c r="E322" s="2"/>
      <c r="F322" s="13"/>
      <c r="G322" s="2"/>
      <c r="H322" s="2"/>
      <c r="I322" s="13"/>
      <c r="J322" s="13"/>
      <c r="K322" s="2"/>
      <c r="L322" s="8"/>
      <c r="M322" s="2"/>
      <c r="N322" s="2"/>
      <c r="O322" s="2"/>
      <c r="P322" s="2"/>
      <c r="Q322" s="2"/>
    </row>
    <row r="323" spans="1:17" x14ac:dyDescent="0.25">
      <c r="A323" s="2"/>
      <c r="B323" s="2"/>
      <c r="C323" s="2"/>
      <c r="D323" s="2"/>
      <c r="E323" s="2"/>
      <c r="F323" s="13"/>
      <c r="G323" s="2"/>
      <c r="H323" s="2"/>
      <c r="I323" s="13"/>
      <c r="J323" s="13"/>
      <c r="K323" s="2"/>
      <c r="L323" s="8"/>
      <c r="M323" s="2"/>
      <c r="N323" s="2"/>
      <c r="O323" s="2"/>
      <c r="P323" s="2"/>
      <c r="Q323" s="2"/>
    </row>
    <row r="324" spans="1:17" x14ac:dyDescent="0.25">
      <c r="A324" s="2"/>
      <c r="B324" s="2"/>
      <c r="C324" s="2"/>
      <c r="D324" s="2"/>
      <c r="E324" s="2"/>
      <c r="F324" s="13"/>
      <c r="G324" s="2"/>
      <c r="H324" s="2"/>
      <c r="I324" s="13"/>
      <c r="J324" s="13"/>
      <c r="K324" s="2"/>
      <c r="L324" s="8"/>
      <c r="M324" s="2"/>
      <c r="N324" s="2"/>
      <c r="O324" s="2"/>
      <c r="P324" s="2"/>
      <c r="Q324" s="2"/>
    </row>
    <row r="325" spans="1:17" x14ac:dyDescent="0.25">
      <c r="A325" s="2"/>
      <c r="B325" s="2"/>
      <c r="C325" s="2"/>
      <c r="D325" s="2"/>
      <c r="E325" s="2"/>
      <c r="F325" s="13"/>
      <c r="G325" s="2"/>
      <c r="H325" s="2"/>
      <c r="I325" s="13"/>
      <c r="J325" s="13"/>
      <c r="K325" s="2"/>
      <c r="L325" s="8"/>
      <c r="M325" s="2"/>
      <c r="N325" s="2"/>
      <c r="O325" s="2"/>
      <c r="P325" s="2"/>
      <c r="Q325" s="2"/>
    </row>
    <row r="326" spans="1:17" x14ac:dyDescent="0.25">
      <c r="A326" s="2"/>
      <c r="B326" s="2"/>
      <c r="C326" s="2"/>
      <c r="D326" s="2"/>
      <c r="E326" s="2"/>
      <c r="F326" s="13"/>
      <c r="G326" s="2"/>
      <c r="H326" s="2"/>
      <c r="I326" s="13"/>
      <c r="J326" s="13"/>
      <c r="K326" s="2"/>
      <c r="L326" s="8"/>
      <c r="M326" s="2"/>
      <c r="N326" s="2"/>
      <c r="O326" s="2"/>
      <c r="P326" s="2"/>
      <c r="Q326" s="2"/>
    </row>
    <row r="327" spans="1:17" x14ac:dyDescent="0.25">
      <c r="A327" s="2"/>
      <c r="B327" s="2"/>
      <c r="C327" s="2"/>
      <c r="D327" s="2"/>
      <c r="E327" s="2"/>
      <c r="F327" s="13"/>
      <c r="G327" s="2"/>
      <c r="H327" s="2"/>
      <c r="I327" s="13"/>
      <c r="J327" s="13"/>
      <c r="K327" s="2"/>
      <c r="L327" s="8"/>
      <c r="M327" s="2"/>
      <c r="N327" s="2"/>
      <c r="O327" s="2"/>
      <c r="P327" s="2"/>
      <c r="Q327" s="2"/>
    </row>
    <row r="328" spans="1:17" x14ac:dyDescent="0.25">
      <c r="A328" s="2"/>
      <c r="B328" s="2"/>
      <c r="C328" s="2"/>
      <c r="D328" s="2"/>
      <c r="E328" s="2"/>
      <c r="F328" s="13"/>
      <c r="G328" s="2"/>
      <c r="H328" s="2"/>
      <c r="I328" s="13"/>
      <c r="J328" s="13"/>
      <c r="K328" s="2"/>
      <c r="L328" s="8"/>
      <c r="M328" s="2"/>
      <c r="N328" s="2"/>
      <c r="O328" s="2"/>
      <c r="P328" s="2"/>
      <c r="Q328" s="2"/>
    </row>
    <row r="329" spans="1:17" x14ac:dyDescent="0.25">
      <c r="A329" s="2"/>
      <c r="B329" s="2"/>
      <c r="C329" s="2"/>
      <c r="D329" s="2"/>
      <c r="E329" s="2"/>
      <c r="F329" s="13"/>
      <c r="G329" s="2"/>
      <c r="H329" s="2"/>
      <c r="I329" s="13"/>
      <c r="J329" s="13"/>
      <c r="K329" s="2"/>
      <c r="L329" s="8"/>
      <c r="M329" s="2"/>
      <c r="N329" s="2"/>
      <c r="O329" s="2"/>
      <c r="P329" s="2"/>
      <c r="Q329" s="2"/>
    </row>
    <row r="330" spans="1:17" x14ac:dyDescent="0.25">
      <c r="A330" s="2"/>
      <c r="B330" s="2"/>
      <c r="C330" s="2"/>
      <c r="D330" s="2"/>
      <c r="E330" s="2"/>
      <c r="F330" s="13"/>
      <c r="G330" s="2"/>
      <c r="H330" s="2"/>
      <c r="I330" s="13"/>
      <c r="J330" s="13"/>
      <c r="K330" s="2"/>
      <c r="L330" s="8"/>
      <c r="M330" s="2"/>
      <c r="N330" s="2"/>
      <c r="O330" s="2"/>
      <c r="P330" s="2"/>
      <c r="Q330" s="2"/>
    </row>
    <row r="331" spans="1:17" x14ac:dyDescent="0.25">
      <c r="A331" s="2"/>
      <c r="B331" s="2"/>
      <c r="C331" s="2"/>
      <c r="D331" s="2"/>
      <c r="E331" s="2"/>
      <c r="F331" s="13"/>
      <c r="G331" s="2"/>
      <c r="H331" s="2"/>
      <c r="I331" s="13"/>
      <c r="J331" s="13"/>
      <c r="K331" s="2"/>
      <c r="L331" s="8"/>
      <c r="M331" s="2"/>
      <c r="N331" s="2"/>
      <c r="O331" s="2"/>
      <c r="P331" s="2"/>
      <c r="Q331" s="2"/>
    </row>
    <row r="332" spans="1:17" x14ac:dyDescent="0.25">
      <c r="A332" s="2"/>
      <c r="B332" s="2"/>
      <c r="C332" s="2"/>
      <c r="D332" s="2"/>
      <c r="E332" s="2"/>
      <c r="F332" s="13"/>
      <c r="G332" s="2"/>
      <c r="H332" s="2"/>
      <c r="I332" s="13"/>
      <c r="J332" s="13"/>
      <c r="K332" s="2"/>
      <c r="L332" s="8"/>
      <c r="M332" s="2"/>
      <c r="N332" s="2"/>
      <c r="O332" s="2"/>
      <c r="P332" s="2"/>
      <c r="Q332" s="2"/>
    </row>
    <row r="333" spans="1:17" x14ac:dyDescent="0.25">
      <c r="A333" s="2"/>
      <c r="B333" s="2"/>
      <c r="C333" s="2"/>
      <c r="D333" s="2"/>
      <c r="E333" s="2"/>
      <c r="F333" s="13"/>
      <c r="G333" s="2"/>
      <c r="H333" s="2"/>
      <c r="I333" s="13"/>
      <c r="J333" s="13"/>
      <c r="K333" s="2"/>
      <c r="L333" s="8"/>
      <c r="M333" s="2"/>
      <c r="N333" s="2"/>
      <c r="O333" s="2"/>
      <c r="P333" s="2"/>
      <c r="Q333" s="2"/>
    </row>
    <row r="334" spans="1:17" x14ac:dyDescent="0.25">
      <c r="A334" s="2"/>
      <c r="B334" s="2"/>
      <c r="C334" s="2"/>
      <c r="D334" s="2"/>
      <c r="E334" s="2"/>
      <c r="F334" s="13"/>
      <c r="G334" s="2"/>
      <c r="H334" s="2"/>
      <c r="I334" s="13"/>
      <c r="J334" s="13"/>
      <c r="K334" s="2"/>
      <c r="L334" s="8"/>
      <c r="M334" s="2"/>
      <c r="N334" s="2"/>
      <c r="O334" s="2"/>
      <c r="P334" s="2"/>
      <c r="Q334" s="2"/>
    </row>
    <row r="335" spans="1:17" x14ac:dyDescent="0.25">
      <c r="A335" s="2"/>
      <c r="B335" s="2"/>
      <c r="C335" s="2"/>
      <c r="D335" s="2"/>
      <c r="E335" s="2"/>
      <c r="F335" s="13"/>
      <c r="G335" s="2"/>
      <c r="H335" s="2"/>
      <c r="I335" s="13"/>
      <c r="J335" s="13"/>
      <c r="K335" s="2"/>
      <c r="L335" s="8"/>
      <c r="M335" s="2"/>
      <c r="N335" s="2"/>
      <c r="O335" s="2"/>
      <c r="P335" s="2"/>
      <c r="Q335" s="2"/>
    </row>
    <row r="336" spans="1:17" x14ac:dyDescent="0.25">
      <c r="A336" s="2"/>
      <c r="B336" s="2"/>
      <c r="C336" s="2"/>
      <c r="D336" s="2"/>
      <c r="E336" s="2"/>
      <c r="F336" s="13"/>
      <c r="G336" s="2"/>
      <c r="H336" s="2"/>
      <c r="I336" s="13"/>
      <c r="J336" s="13"/>
      <c r="K336" s="2"/>
      <c r="L336" s="8"/>
      <c r="M336" s="2"/>
      <c r="N336" s="2"/>
      <c r="O336" s="2"/>
      <c r="P336" s="2"/>
      <c r="Q336" s="2"/>
    </row>
    <row r="337" spans="1:17" x14ac:dyDescent="0.25">
      <c r="A337" s="2"/>
      <c r="B337" s="2"/>
      <c r="C337" s="2"/>
      <c r="D337" s="2"/>
      <c r="E337" s="2"/>
      <c r="F337" s="13"/>
      <c r="G337" s="2"/>
      <c r="H337" s="2"/>
      <c r="I337" s="13"/>
      <c r="J337" s="13"/>
      <c r="K337" s="2"/>
      <c r="L337" s="8"/>
      <c r="M337" s="2"/>
      <c r="N337" s="2"/>
      <c r="O337" s="2"/>
      <c r="P337" s="2"/>
      <c r="Q337" s="2"/>
    </row>
    <row r="338" spans="1:17" x14ac:dyDescent="0.25">
      <c r="A338" s="2"/>
      <c r="B338" s="2"/>
      <c r="C338" s="2"/>
      <c r="D338" s="2"/>
      <c r="E338" s="2"/>
      <c r="F338" s="13"/>
      <c r="G338" s="2"/>
      <c r="H338" s="2"/>
      <c r="I338" s="13"/>
      <c r="J338" s="13"/>
      <c r="K338" s="2"/>
      <c r="L338" s="8"/>
      <c r="M338" s="2"/>
      <c r="N338" s="2"/>
      <c r="O338" s="2"/>
      <c r="P338" s="2"/>
      <c r="Q338" s="2"/>
    </row>
    <row r="339" spans="1:17" x14ac:dyDescent="0.25">
      <c r="A339" s="2"/>
      <c r="B339" s="2"/>
      <c r="C339" s="2"/>
      <c r="D339" s="2"/>
      <c r="E339" s="2"/>
      <c r="F339" s="13"/>
      <c r="G339" s="2"/>
      <c r="H339" s="2"/>
      <c r="I339" s="13"/>
      <c r="J339" s="13"/>
      <c r="K339" s="2"/>
      <c r="L339" s="8"/>
      <c r="M339" s="2"/>
      <c r="N339" s="2"/>
      <c r="O339" s="2"/>
      <c r="P339" s="2"/>
      <c r="Q339" s="2"/>
    </row>
    <row r="340" spans="1:17" x14ac:dyDescent="0.25">
      <c r="A340" s="2"/>
      <c r="B340" s="2"/>
      <c r="C340" s="2"/>
      <c r="D340" s="2"/>
      <c r="E340" s="2"/>
      <c r="F340" s="13"/>
      <c r="G340" s="2"/>
      <c r="H340" s="2"/>
      <c r="I340" s="13"/>
      <c r="J340" s="13"/>
      <c r="K340" s="2"/>
      <c r="L340" s="8"/>
      <c r="M340" s="2"/>
      <c r="N340" s="2"/>
      <c r="O340" s="2"/>
      <c r="P340" s="2"/>
      <c r="Q340" s="2"/>
    </row>
    <row r="341" spans="1:17" x14ac:dyDescent="0.25">
      <c r="A341" s="2"/>
      <c r="B341" s="2"/>
      <c r="C341" s="2"/>
      <c r="D341" s="2"/>
      <c r="E341" s="2"/>
      <c r="F341" s="13"/>
      <c r="G341" s="2"/>
      <c r="H341" s="2"/>
      <c r="I341" s="13"/>
      <c r="J341" s="13"/>
      <c r="K341" s="2"/>
      <c r="L341" s="8"/>
      <c r="M341" s="2"/>
      <c r="N341" s="2"/>
      <c r="O341" s="2"/>
      <c r="P341" s="2"/>
      <c r="Q341" s="2"/>
    </row>
    <row r="342" spans="1:17" x14ac:dyDescent="0.25">
      <c r="A342" s="2"/>
      <c r="B342" s="2"/>
      <c r="C342" s="2"/>
      <c r="D342" s="2"/>
      <c r="E342" s="2"/>
      <c r="F342" s="13"/>
      <c r="G342" s="2"/>
      <c r="H342" s="2"/>
      <c r="I342" s="13"/>
      <c r="J342" s="13"/>
      <c r="K342" s="2"/>
      <c r="L342" s="8"/>
      <c r="M342" s="2"/>
      <c r="N342" s="2"/>
      <c r="O342" s="2"/>
      <c r="P342" s="2"/>
      <c r="Q342" s="2"/>
    </row>
    <row r="343" spans="1:17" x14ac:dyDescent="0.25">
      <c r="A343" s="2"/>
      <c r="B343" s="2"/>
      <c r="C343" s="2"/>
      <c r="D343" s="2"/>
      <c r="E343" s="2"/>
      <c r="F343" s="13"/>
      <c r="G343" s="2"/>
      <c r="H343" s="2"/>
      <c r="I343" s="13"/>
      <c r="J343" s="13"/>
      <c r="K343" s="2"/>
      <c r="L343" s="8"/>
      <c r="M343" s="2"/>
      <c r="N343" s="2"/>
      <c r="O343" s="2"/>
      <c r="P343" s="2"/>
      <c r="Q343" s="2"/>
    </row>
    <row r="344" spans="1:17" x14ac:dyDescent="0.25">
      <c r="A344" s="2"/>
      <c r="B344" s="2"/>
      <c r="C344" s="2"/>
      <c r="D344" s="2"/>
      <c r="E344" s="2"/>
      <c r="F344" s="13"/>
      <c r="G344" s="2"/>
      <c r="H344" s="2"/>
      <c r="I344" s="13"/>
      <c r="J344" s="13"/>
      <c r="K344" s="2"/>
      <c r="L344" s="8"/>
      <c r="M344" s="2"/>
      <c r="N344" s="2"/>
      <c r="O344" s="2"/>
      <c r="P344" s="2"/>
      <c r="Q344" s="2"/>
    </row>
    <row r="345" spans="1:17" x14ac:dyDescent="0.25">
      <c r="A345" s="2"/>
      <c r="B345" s="2"/>
      <c r="C345" s="2"/>
      <c r="D345" s="2"/>
      <c r="E345" s="2"/>
      <c r="F345" s="13"/>
      <c r="G345" s="2"/>
      <c r="H345" s="2"/>
      <c r="I345" s="13"/>
      <c r="J345" s="13"/>
      <c r="K345" s="2"/>
      <c r="L345" s="8"/>
      <c r="M345" s="2"/>
      <c r="N345" s="2"/>
      <c r="O345" s="2"/>
      <c r="P345" s="2"/>
      <c r="Q345" s="2"/>
    </row>
    <row r="346" spans="1:17" x14ac:dyDescent="0.25">
      <c r="A346" s="2"/>
      <c r="B346" s="2"/>
      <c r="C346" s="2"/>
      <c r="D346" s="2"/>
      <c r="E346" s="2"/>
      <c r="F346" s="13"/>
      <c r="G346" s="2"/>
      <c r="H346" s="2"/>
      <c r="I346" s="13"/>
      <c r="J346" s="13"/>
      <c r="K346" s="2"/>
      <c r="L346" s="8"/>
      <c r="M346" s="2"/>
      <c r="N346" s="2"/>
      <c r="O346" s="2"/>
      <c r="P346" s="2"/>
      <c r="Q346" s="2"/>
    </row>
    <row r="347" spans="1:17" x14ac:dyDescent="0.25">
      <c r="A347" s="2"/>
      <c r="B347" s="2"/>
      <c r="C347" s="2"/>
      <c r="D347" s="2"/>
      <c r="E347" s="2"/>
      <c r="F347" s="13"/>
      <c r="G347" s="2"/>
      <c r="H347" s="2"/>
      <c r="I347" s="13"/>
      <c r="J347" s="13"/>
      <c r="K347" s="2"/>
      <c r="L347" s="8"/>
      <c r="M347" s="2"/>
      <c r="N347" s="2"/>
      <c r="O347" s="2"/>
      <c r="P347" s="2"/>
      <c r="Q347" s="2"/>
    </row>
    <row r="348" spans="1:17" x14ac:dyDescent="0.25">
      <c r="A348" s="2"/>
      <c r="B348" s="2"/>
      <c r="C348" s="2"/>
      <c r="D348" s="2"/>
      <c r="E348" s="2"/>
      <c r="F348" s="13"/>
      <c r="G348" s="2"/>
      <c r="H348" s="2"/>
      <c r="I348" s="13"/>
      <c r="J348" s="13"/>
      <c r="K348" s="2"/>
      <c r="L348" s="8"/>
      <c r="M348" s="2"/>
      <c r="N348" s="2"/>
      <c r="O348" s="2"/>
      <c r="P348" s="2"/>
      <c r="Q348" s="2"/>
    </row>
    <row r="349" spans="1:17" x14ac:dyDescent="0.25">
      <c r="A349" s="2"/>
      <c r="B349" s="2"/>
      <c r="C349" s="2"/>
      <c r="D349" s="2"/>
      <c r="E349" s="2"/>
      <c r="F349" s="13"/>
      <c r="G349" s="2"/>
      <c r="H349" s="2"/>
      <c r="I349" s="13"/>
      <c r="J349" s="13"/>
      <c r="K349" s="2"/>
      <c r="L349" s="8"/>
      <c r="M349" s="2"/>
      <c r="N349" s="2"/>
      <c r="O349" s="2"/>
      <c r="P349" s="2"/>
      <c r="Q349" s="2"/>
    </row>
    <row r="350" spans="1:17" x14ac:dyDescent="0.25">
      <c r="A350" s="2"/>
      <c r="B350" s="2"/>
      <c r="C350" s="2"/>
      <c r="D350" s="2"/>
      <c r="E350" s="2"/>
      <c r="F350" s="13"/>
      <c r="G350" s="2"/>
      <c r="H350" s="2"/>
      <c r="I350" s="13"/>
      <c r="J350" s="13"/>
      <c r="K350" s="2"/>
      <c r="L350" s="8"/>
      <c r="M350" s="2"/>
      <c r="N350" s="2"/>
      <c r="O350" s="2"/>
      <c r="P350" s="2"/>
      <c r="Q350" s="2"/>
    </row>
    <row r="351" spans="1:17" x14ac:dyDescent="0.25">
      <c r="A351" s="2"/>
      <c r="B351" s="2"/>
      <c r="C351" s="2"/>
      <c r="D351" s="2"/>
      <c r="E351" s="2"/>
      <c r="F351" s="13"/>
      <c r="G351" s="2"/>
      <c r="H351" s="2"/>
      <c r="I351" s="13"/>
      <c r="J351" s="13"/>
      <c r="K351" s="2"/>
      <c r="L351" s="8"/>
      <c r="M351" s="2"/>
      <c r="N351" s="2"/>
      <c r="O351" s="2"/>
      <c r="P351" s="2"/>
      <c r="Q351" s="2"/>
    </row>
    <row r="352" spans="1:17" x14ac:dyDescent="0.25">
      <c r="A352" s="2"/>
      <c r="B352" s="2"/>
      <c r="C352" s="2"/>
      <c r="D352" s="2"/>
      <c r="E352" s="2"/>
      <c r="F352" s="13"/>
      <c r="G352" s="2"/>
      <c r="H352" s="2"/>
      <c r="I352" s="13"/>
      <c r="J352" s="13"/>
      <c r="K352" s="2"/>
      <c r="L352" s="8"/>
      <c r="M352" s="2"/>
      <c r="N352" s="2"/>
      <c r="O352" s="2"/>
      <c r="P352" s="2"/>
      <c r="Q352" s="2"/>
    </row>
    <row r="353" spans="1:17" x14ac:dyDescent="0.25">
      <c r="A353" s="2"/>
      <c r="B353" s="2"/>
      <c r="C353" s="2"/>
      <c r="D353" s="2"/>
      <c r="E353" s="2"/>
      <c r="F353" s="13"/>
      <c r="G353" s="2"/>
      <c r="H353" s="2"/>
      <c r="I353" s="13"/>
      <c r="J353" s="13"/>
      <c r="K353" s="2"/>
      <c r="L353" s="8"/>
      <c r="M353" s="2"/>
      <c r="N353" s="2"/>
      <c r="O353" s="2"/>
      <c r="P353" s="2"/>
      <c r="Q353" s="2"/>
    </row>
    <row r="354" spans="1:17" x14ac:dyDescent="0.25">
      <c r="A354" s="2"/>
      <c r="B354" s="2"/>
      <c r="C354" s="2"/>
      <c r="D354" s="2"/>
      <c r="E354" s="2"/>
      <c r="F354" s="13"/>
      <c r="G354" s="2"/>
      <c r="H354" s="2"/>
      <c r="I354" s="13"/>
      <c r="J354" s="13"/>
      <c r="K354" s="2"/>
      <c r="L354" s="8"/>
      <c r="M354" s="2"/>
      <c r="N354" s="2"/>
      <c r="O354" s="2"/>
      <c r="P354" s="2"/>
      <c r="Q354" s="2"/>
    </row>
    <row r="355" spans="1:17" x14ac:dyDescent="0.25">
      <c r="A355" s="2"/>
      <c r="B355" s="2"/>
      <c r="C355" s="2"/>
      <c r="D355" s="2"/>
      <c r="E355" s="2"/>
      <c r="F355" s="13"/>
      <c r="G355" s="2"/>
      <c r="H355" s="2"/>
      <c r="I355" s="13"/>
      <c r="J355" s="13"/>
      <c r="K355" s="2"/>
      <c r="L355" s="8"/>
      <c r="M355" s="2"/>
      <c r="N355" s="2"/>
      <c r="O355" s="2"/>
      <c r="P355" s="2"/>
      <c r="Q355" s="2"/>
    </row>
    <row r="356" spans="1:17" x14ac:dyDescent="0.25">
      <c r="A356" s="2"/>
      <c r="B356" s="2"/>
      <c r="C356" s="2"/>
      <c r="D356" s="2"/>
      <c r="E356" s="2"/>
      <c r="F356" s="13"/>
      <c r="G356" s="2"/>
      <c r="H356" s="2"/>
      <c r="I356" s="13"/>
      <c r="J356" s="13"/>
      <c r="K356" s="2"/>
      <c r="L356" s="8"/>
      <c r="M356" s="2"/>
      <c r="N356" s="2"/>
      <c r="O356" s="2"/>
      <c r="P356" s="2"/>
      <c r="Q356" s="2"/>
    </row>
    <row r="357" spans="1:17" x14ac:dyDescent="0.25">
      <c r="A357" s="2"/>
      <c r="B357" s="2"/>
      <c r="C357" s="2"/>
      <c r="D357" s="2"/>
      <c r="E357" s="2"/>
      <c r="F357" s="13"/>
      <c r="G357" s="2"/>
      <c r="H357" s="2"/>
      <c r="I357" s="13"/>
      <c r="J357" s="13"/>
      <c r="K357" s="2"/>
      <c r="L357" s="8"/>
      <c r="M357" s="2"/>
      <c r="N357" s="2"/>
      <c r="O357" s="2"/>
      <c r="P357" s="2"/>
      <c r="Q357" s="2"/>
    </row>
    <row r="358" spans="1:17" x14ac:dyDescent="0.25">
      <c r="A358" s="2"/>
      <c r="B358" s="2"/>
      <c r="C358" s="2"/>
      <c r="D358" s="2"/>
      <c r="E358" s="2"/>
      <c r="F358" s="13"/>
      <c r="G358" s="2"/>
      <c r="H358" s="2"/>
      <c r="I358" s="13"/>
      <c r="J358" s="13"/>
      <c r="K358" s="2"/>
      <c r="L358" s="8"/>
      <c r="M358" s="2"/>
      <c r="N358" s="2"/>
      <c r="O358" s="2"/>
      <c r="P358" s="2"/>
      <c r="Q358" s="2"/>
    </row>
    <row r="359" spans="1:17" x14ac:dyDescent="0.25">
      <c r="A359" s="2"/>
      <c r="B359" s="2"/>
      <c r="C359" s="2"/>
      <c r="D359" s="2"/>
      <c r="E359" s="2"/>
      <c r="F359" s="13"/>
      <c r="G359" s="2"/>
      <c r="H359" s="2"/>
      <c r="I359" s="13"/>
      <c r="J359" s="13"/>
      <c r="K359" s="2"/>
      <c r="L359" s="8"/>
      <c r="M359" s="2"/>
      <c r="N359" s="2"/>
      <c r="O359" s="2"/>
      <c r="P359" s="2"/>
      <c r="Q359" s="2"/>
    </row>
    <row r="360" spans="1:17" x14ac:dyDescent="0.25">
      <c r="A360" s="2"/>
      <c r="B360" s="2"/>
      <c r="C360" s="2"/>
      <c r="D360" s="2"/>
      <c r="E360" s="2"/>
      <c r="F360" s="13"/>
      <c r="G360" s="2"/>
      <c r="H360" s="2"/>
      <c r="I360" s="13"/>
      <c r="J360" s="13"/>
      <c r="K360" s="2"/>
      <c r="L360" s="8"/>
      <c r="M360" s="2"/>
      <c r="N360" s="2"/>
      <c r="O360" s="2"/>
      <c r="P360" s="2"/>
      <c r="Q360" s="2"/>
    </row>
    <row r="361" spans="1:17" x14ac:dyDescent="0.25">
      <c r="A361" s="2"/>
      <c r="B361" s="2"/>
      <c r="C361" s="2"/>
      <c r="D361" s="2"/>
      <c r="E361" s="2"/>
      <c r="F361" s="13"/>
      <c r="G361" s="2"/>
      <c r="H361" s="2"/>
      <c r="I361" s="13"/>
      <c r="J361" s="13"/>
      <c r="K361" s="2"/>
      <c r="L361" s="8"/>
      <c r="M361" s="2"/>
      <c r="N361" s="2"/>
      <c r="O361" s="2"/>
      <c r="P361" s="2"/>
      <c r="Q361" s="2"/>
    </row>
    <row r="362" spans="1:17" x14ac:dyDescent="0.25">
      <c r="A362" s="2"/>
      <c r="B362" s="2"/>
      <c r="C362" s="2"/>
      <c r="D362" s="2"/>
      <c r="E362" s="2"/>
      <c r="F362" s="13"/>
      <c r="G362" s="2"/>
      <c r="H362" s="2"/>
      <c r="I362" s="13"/>
      <c r="J362" s="13"/>
      <c r="K362" s="2"/>
      <c r="L362" s="8"/>
      <c r="M362" s="2"/>
      <c r="N362" s="2"/>
      <c r="O362" s="2"/>
      <c r="P362" s="2"/>
      <c r="Q362" s="2"/>
    </row>
    <row r="363" spans="1:17" x14ac:dyDescent="0.25">
      <c r="A363" s="2"/>
      <c r="B363" s="2"/>
      <c r="C363" s="2"/>
      <c r="D363" s="2"/>
      <c r="E363" s="2"/>
      <c r="F363" s="13"/>
      <c r="G363" s="2"/>
      <c r="H363" s="2"/>
      <c r="I363" s="13"/>
      <c r="J363" s="13"/>
      <c r="K363" s="2"/>
      <c r="L363" s="8"/>
      <c r="M363" s="2"/>
      <c r="N363" s="2"/>
      <c r="O363" s="2"/>
      <c r="P363" s="2"/>
      <c r="Q363" s="2"/>
    </row>
    <row r="364" spans="1:17" x14ac:dyDescent="0.25">
      <c r="A364" s="2"/>
      <c r="B364" s="2"/>
      <c r="C364" s="2"/>
      <c r="D364" s="2"/>
      <c r="E364" s="2"/>
      <c r="F364" s="13"/>
      <c r="G364" s="2"/>
      <c r="H364" s="2"/>
      <c r="I364" s="13"/>
      <c r="J364" s="13"/>
      <c r="K364" s="2"/>
      <c r="L364" s="8"/>
      <c r="M364" s="2"/>
      <c r="N364" s="2"/>
      <c r="O364" s="2"/>
      <c r="P364" s="2"/>
      <c r="Q364" s="2"/>
    </row>
    <row r="365" spans="1:17" x14ac:dyDescent="0.25">
      <c r="A365" s="2"/>
      <c r="B365" s="2"/>
      <c r="C365" s="2"/>
      <c r="D365" s="2"/>
      <c r="E365" s="2"/>
      <c r="F365" s="13"/>
      <c r="G365" s="2"/>
      <c r="H365" s="2"/>
      <c r="I365" s="13"/>
      <c r="J365" s="13"/>
      <c r="K365" s="2"/>
      <c r="L365" s="8"/>
      <c r="M365" s="2"/>
      <c r="N365" s="2"/>
      <c r="O365" s="2"/>
      <c r="P365" s="2"/>
      <c r="Q365" s="2"/>
    </row>
    <row r="366" spans="1:17" x14ac:dyDescent="0.25">
      <c r="A366" s="2"/>
      <c r="B366" s="2"/>
      <c r="C366" s="2"/>
      <c r="D366" s="2"/>
      <c r="E366" s="2"/>
      <c r="F366" s="13"/>
      <c r="G366" s="2"/>
      <c r="H366" s="2"/>
      <c r="I366" s="13"/>
      <c r="J366" s="13"/>
      <c r="K366" s="2"/>
      <c r="L366" s="8"/>
      <c r="M366" s="2"/>
      <c r="N366" s="2"/>
      <c r="O366" s="2"/>
      <c r="P366" s="2"/>
      <c r="Q366" s="2"/>
    </row>
    <row r="367" spans="1:17" x14ac:dyDescent="0.25">
      <c r="A367" s="2"/>
      <c r="B367" s="2"/>
      <c r="C367" s="2"/>
      <c r="D367" s="2"/>
      <c r="E367" s="2"/>
      <c r="F367" s="13"/>
      <c r="G367" s="2"/>
      <c r="H367" s="2"/>
      <c r="I367" s="13"/>
      <c r="J367" s="13"/>
      <c r="K367" s="2"/>
      <c r="L367" s="8"/>
      <c r="M367" s="2"/>
      <c r="N367" s="2"/>
      <c r="O367" s="2"/>
      <c r="P367" s="2"/>
      <c r="Q367" s="2"/>
    </row>
    <row r="368" spans="1:17" x14ac:dyDescent="0.25">
      <c r="A368" s="2"/>
      <c r="B368" s="2"/>
      <c r="C368" s="2"/>
      <c r="D368" s="2"/>
      <c r="E368" s="2"/>
      <c r="F368" s="13"/>
      <c r="G368" s="2"/>
      <c r="H368" s="2"/>
      <c r="I368" s="13"/>
      <c r="J368" s="13"/>
      <c r="K368" s="2"/>
      <c r="L368" s="8"/>
      <c r="M368" s="2"/>
      <c r="N368" s="2"/>
      <c r="O368" s="2"/>
      <c r="P368" s="2"/>
      <c r="Q368" s="2"/>
    </row>
    <row r="369" spans="1:17" x14ac:dyDescent="0.25">
      <c r="A369" s="2"/>
      <c r="B369" s="2"/>
      <c r="C369" s="2"/>
      <c r="D369" s="2"/>
      <c r="E369" s="2"/>
      <c r="F369" s="13"/>
      <c r="G369" s="2"/>
      <c r="H369" s="2"/>
      <c r="I369" s="13"/>
      <c r="J369" s="13"/>
      <c r="K369" s="2"/>
      <c r="L369" s="8"/>
      <c r="M369" s="2"/>
      <c r="N369" s="2"/>
      <c r="O369" s="2"/>
      <c r="P369" s="2"/>
      <c r="Q369" s="2"/>
    </row>
    <row r="370" spans="1:17" x14ac:dyDescent="0.25">
      <c r="A370" s="2"/>
      <c r="B370" s="2"/>
      <c r="C370" s="2"/>
      <c r="D370" s="2"/>
      <c r="E370" s="2"/>
      <c r="F370" s="13"/>
      <c r="G370" s="2"/>
      <c r="H370" s="2"/>
      <c r="I370" s="13"/>
      <c r="J370" s="13"/>
      <c r="K370" s="2"/>
      <c r="L370" s="8"/>
      <c r="M370" s="2"/>
      <c r="N370" s="2"/>
      <c r="O370" s="2"/>
      <c r="P370" s="2"/>
      <c r="Q370" s="2"/>
    </row>
    <row r="371" spans="1:17" x14ac:dyDescent="0.25">
      <c r="A371" s="2"/>
      <c r="B371" s="2"/>
      <c r="C371" s="2"/>
      <c r="D371" s="2"/>
      <c r="E371" s="2"/>
      <c r="F371" s="13"/>
      <c r="G371" s="2"/>
      <c r="H371" s="2"/>
      <c r="I371" s="13"/>
      <c r="J371" s="13"/>
      <c r="K371" s="2"/>
      <c r="L371" s="8"/>
      <c r="M371" s="2"/>
      <c r="N371" s="2"/>
      <c r="O371" s="2"/>
      <c r="P371" s="2"/>
      <c r="Q371" s="2"/>
    </row>
    <row r="372" spans="1:17" x14ac:dyDescent="0.25">
      <c r="A372" s="2"/>
      <c r="B372" s="2"/>
      <c r="C372" s="2"/>
      <c r="D372" s="2"/>
      <c r="E372" s="2"/>
      <c r="F372" s="13"/>
      <c r="G372" s="2"/>
      <c r="H372" s="2"/>
      <c r="I372" s="13"/>
      <c r="J372" s="13"/>
      <c r="K372" s="2"/>
      <c r="L372" s="8"/>
      <c r="M372" s="2"/>
      <c r="N372" s="2"/>
      <c r="O372" s="2"/>
      <c r="P372" s="2"/>
      <c r="Q372" s="2"/>
    </row>
    <row r="373" spans="1:17" x14ac:dyDescent="0.25">
      <c r="A373" s="2"/>
      <c r="B373" s="2"/>
      <c r="C373" s="2"/>
      <c r="D373" s="2"/>
      <c r="E373" s="2"/>
      <c r="F373" s="13"/>
      <c r="G373" s="2"/>
      <c r="H373" s="2"/>
      <c r="I373" s="13"/>
      <c r="J373" s="13"/>
      <c r="K373" s="2"/>
      <c r="L373" s="8"/>
      <c r="M373" s="2"/>
      <c r="N373" s="2"/>
      <c r="O373" s="2"/>
      <c r="P373" s="2"/>
      <c r="Q373" s="2"/>
    </row>
    <row r="374" spans="1:17" x14ac:dyDescent="0.25">
      <c r="A374" s="2"/>
      <c r="B374" s="2"/>
      <c r="C374" s="2"/>
      <c r="D374" s="2"/>
      <c r="E374" s="2"/>
      <c r="F374" s="13"/>
      <c r="G374" s="2"/>
      <c r="H374" s="2"/>
      <c r="I374" s="13"/>
      <c r="J374" s="13"/>
      <c r="K374" s="2"/>
      <c r="L374" s="8"/>
      <c r="M374" s="2"/>
      <c r="N374" s="2"/>
      <c r="O374" s="2"/>
      <c r="P374" s="2"/>
      <c r="Q374" s="2"/>
    </row>
    <row r="375" spans="1:17" x14ac:dyDescent="0.25">
      <c r="A375" s="2"/>
      <c r="B375" s="2"/>
      <c r="C375" s="2"/>
      <c r="D375" s="2"/>
      <c r="E375" s="2"/>
      <c r="F375" s="13"/>
      <c r="G375" s="2"/>
      <c r="H375" s="2"/>
      <c r="I375" s="13"/>
      <c r="J375" s="13"/>
      <c r="K375" s="2"/>
      <c r="L375" s="8"/>
      <c r="M375" s="2"/>
      <c r="N375" s="2"/>
      <c r="O375" s="2"/>
      <c r="P375" s="2"/>
      <c r="Q375" s="2"/>
    </row>
    <row r="376" spans="1:17" x14ac:dyDescent="0.25">
      <c r="A376" s="2"/>
      <c r="B376" s="2"/>
      <c r="C376" s="2"/>
      <c r="D376" s="2"/>
      <c r="E376" s="2"/>
      <c r="F376" s="13"/>
      <c r="G376" s="2"/>
      <c r="H376" s="2"/>
      <c r="I376" s="13"/>
      <c r="J376" s="13"/>
      <c r="K376" s="2"/>
      <c r="L376" s="8"/>
      <c r="M376" s="2"/>
      <c r="N376" s="2"/>
      <c r="O376" s="2"/>
      <c r="P376" s="2"/>
      <c r="Q376" s="2"/>
    </row>
    <row r="377" spans="1:17" x14ac:dyDescent="0.25">
      <c r="A377" s="2"/>
      <c r="B377" s="2"/>
      <c r="C377" s="2"/>
      <c r="D377" s="2"/>
      <c r="E377" s="2"/>
      <c r="F377" s="13"/>
      <c r="G377" s="2"/>
      <c r="H377" s="2"/>
      <c r="I377" s="13"/>
      <c r="J377" s="13"/>
      <c r="K377" s="2"/>
      <c r="L377" s="8"/>
      <c r="M377" s="2"/>
      <c r="N377" s="2"/>
      <c r="O377" s="2"/>
      <c r="P377" s="2"/>
      <c r="Q377" s="2"/>
    </row>
    <row r="378" spans="1:17" x14ac:dyDescent="0.25">
      <c r="A378" s="2"/>
      <c r="B378" s="2"/>
      <c r="C378" s="2"/>
      <c r="D378" s="2"/>
      <c r="E378" s="2"/>
      <c r="F378" s="13"/>
      <c r="G378" s="2"/>
      <c r="H378" s="2"/>
      <c r="I378" s="13"/>
      <c r="J378" s="13"/>
      <c r="K378" s="2"/>
      <c r="L378" s="8"/>
      <c r="M378" s="2"/>
      <c r="N378" s="2"/>
      <c r="O378" s="2"/>
      <c r="P378" s="2"/>
      <c r="Q378" s="2"/>
    </row>
    <row r="379" spans="1:17" x14ac:dyDescent="0.25">
      <c r="A379" s="2"/>
      <c r="B379" s="2"/>
      <c r="C379" s="2"/>
      <c r="D379" s="2"/>
      <c r="E379" s="2"/>
      <c r="F379" s="13"/>
      <c r="G379" s="2"/>
      <c r="H379" s="2"/>
      <c r="I379" s="13"/>
      <c r="J379" s="13"/>
      <c r="K379" s="2"/>
      <c r="L379" s="8"/>
      <c r="M379" s="2"/>
      <c r="N379" s="2"/>
      <c r="O379" s="2"/>
      <c r="P379" s="2"/>
      <c r="Q379" s="2"/>
    </row>
    <row r="380" spans="1:17" x14ac:dyDescent="0.25">
      <c r="A380" s="2"/>
      <c r="B380" s="2"/>
      <c r="C380" s="2"/>
      <c r="D380" s="2"/>
      <c r="E380" s="2"/>
      <c r="F380" s="13"/>
      <c r="G380" s="2"/>
      <c r="H380" s="2"/>
      <c r="I380" s="13"/>
      <c r="J380" s="13"/>
      <c r="K380" s="2"/>
      <c r="L380" s="8"/>
      <c r="M380" s="2"/>
      <c r="N380" s="2"/>
      <c r="O380" s="2"/>
      <c r="P380" s="2"/>
      <c r="Q380" s="2"/>
    </row>
    <row r="381" spans="1:17" x14ac:dyDescent="0.25">
      <c r="A381" s="2"/>
      <c r="B381" s="2"/>
      <c r="C381" s="2"/>
      <c r="D381" s="2"/>
      <c r="E381" s="2"/>
      <c r="F381" s="13"/>
      <c r="G381" s="2"/>
      <c r="H381" s="2"/>
      <c r="I381" s="13"/>
      <c r="J381" s="13"/>
      <c r="K381" s="2"/>
      <c r="L381" s="8"/>
      <c r="M381" s="2"/>
      <c r="N381" s="2"/>
      <c r="O381" s="2"/>
      <c r="P381" s="2"/>
      <c r="Q381" s="2"/>
    </row>
    <row r="382" spans="1:17" x14ac:dyDescent="0.25">
      <c r="A382" s="2"/>
      <c r="B382" s="2"/>
      <c r="C382" s="2"/>
      <c r="D382" s="2"/>
      <c r="E382" s="2"/>
      <c r="F382" s="13"/>
      <c r="G382" s="2"/>
      <c r="H382" s="2"/>
      <c r="I382" s="13"/>
      <c r="J382" s="13"/>
      <c r="K382" s="2"/>
      <c r="L382" s="8"/>
      <c r="M382" s="2"/>
      <c r="N382" s="2"/>
      <c r="O382" s="2"/>
      <c r="P382" s="2"/>
      <c r="Q382" s="2"/>
    </row>
    <row r="383" spans="1:17" x14ac:dyDescent="0.25">
      <c r="A383" s="2"/>
      <c r="B383" s="2"/>
      <c r="C383" s="2"/>
      <c r="D383" s="2"/>
      <c r="E383" s="2"/>
      <c r="F383" s="13"/>
      <c r="G383" s="2"/>
      <c r="H383" s="2"/>
      <c r="I383" s="13"/>
      <c r="J383" s="13"/>
      <c r="K383" s="2"/>
      <c r="L383" s="8"/>
      <c r="M383" s="2"/>
      <c r="N383" s="2"/>
      <c r="O383" s="2"/>
      <c r="P383" s="2"/>
      <c r="Q383" s="2"/>
    </row>
    <row r="384" spans="1:17" x14ac:dyDescent="0.25">
      <c r="A384" s="2"/>
      <c r="B384" s="2"/>
      <c r="C384" s="2"/>
      <c r="D384" s="2"/>
      <c r="E384" s="2"/>
      <c r="F384" s="13"/>
      <c r="G384" s="2"/>
      <c r="H384" s="2"/>
      <c r="I384" s="13"/>
      <c r="J384" s="13"/>
      <c r="K384" s="2"/>
      <c r="L384" s="8"/>
      <c r="M384" s="2"/>
      <c r="N384" s="2"/>
      <c r="O384" s="2"/>
      <c r="P384" s="2"/>
      <c r="Q384" s="2"/>
    </row>
    <row r="385" spans="1:17" x14ac:dyDescent="0.25">
      <c r="A385" s="2"/>
      <c r="B385" s="2"/>
      <c r="C385" s="2"/>
      <c r="D385" s="2"/>
      <c r="E385" s="2"/>
      <c r="F385" s="13"/>
      <c r="G385" s="2"/>
      <c r="H385" s="2"/>
      <c r="I385" s="13"/>
      <c r="J385" s="13"/>
      <c r="K385" s="2"/>
      <c r="L385" s="8"/>
      <c r="M385" s="2"/>
      <c r="N385" s="2"/>
      <c r="O385" s="2"/>
      <c r="P385" s="2"/>
      <c r="Q385" s="2"/>
    </row>
    <row r="386" spans="1:17" x14ac:dyDescent="0.25">
      <c r="A386" s="2"/>
      <c r="B386" s="2"/>
      <c r="C386" s="2"/>
      <c r="D386" s="2"/>
      <c r="E386" s="2"/>
      <c r="F386" s="13"/>
      <c r="G386" s="2"/>
      <c r="H386" s="2"/>
      <c r="I386" s="13"/>
      <c r="J386" s="13"/>
      <c r="K386" s="2"/>
      <c r="L386" s="8"/>
      <c r="M386" s="2"/>
      <c r="N386" s="2"/>
      <c r="O386" s="2"/>
      <c r="P386" s="2"/>
      <c r="Q386" s="2"/>
    </row>
    <row r="387" spans="1:17" x14ac:dyDescent="0.25">
      <c r="A387" s="2"/>
      <c r="B387" s="2"/>
      <c r="C387" s="2"/>
      <c r="D387" s="2"/>
      <c r="E387" s="2"/>
      <c r="F387" s="13"/>
      <c r="G387" s="2"/>
      <c r="H387" s="2"/>
      <c r="I387" s="13"/>
      <c r="J387" s="13"/>
      <c r="K387" s="2"/>
      <c r="L387" s="8"/>
      <c r="M387" s="2"/>
      <c r="N387" s="2"/>
      <c r="O387" s="2"/>
      <c r="P387" s="2"/>
      <c r="Q387" s="2"/>
    </row>
    <row r="388" spans="1:17" x14ac:dyDescent="0.25">
      <c r="A388" s="2"/>
      <c r="B388" s="2"/>
      <c r="C388" s="2"/>
      <c r="D388" s="2"/>
      <c r="E388" s="2"/>
      <c r="F388" s="13"/>
      <c r="G388" s="2"/>
      <c r="H388" s="2"/>
      <c r="I388" s="13"/>
      <c r="J388" s="13"/>
      <c r="K388" s="2"/>
      <c r="L388" s="8"/>
      <c r="M388" s="2"/>
      <c r="N388" s="2"/>
      <c r="O388" s="2"/>
      <c r="P388" s="2"/>
      <c r="Q388" s="2"/>
    </row>
    <row r="389" spans="1:17" x14ac:dyDescent="0.25">
      <c r="A389" s="2"/>
      <c r="B389" s="2"/>
      <c r="C389" s="2"/>
      <c r="D389" s="2"/>
      <c r="E389" s="2"/>
      <c r="F389" s="13"/>
      <c r="G389" s="2"/>
      <c r="H389" s="2"/>
      <c r="I389" s="13"/>
      <c r="J389" s="13"/>
      <c r="K389" s="2"/>
      <c r="L389" s="8"/>
      <c r="M389" s="2"/>
      <c r="N389" s="2"/>
      <c r="O389" s="2"/>
      <c r="P389" s="2"/>
      <c r="Q389" s="2"/>
    </row>
    <row r="390" spans="1:17" x14ac:dyDescent="0.25">
      <c r="A390" s="2"/>
      <c r="B390" s="2"/>
      <c r="C390" s="2"/>
      <c r="D390" s="2"/>
      <c r="E390" s="2"/>
      <c r="F390" s="13"/>
      <c r="G390" s="2"/>
      <c r="H390" s="2"/>
      <c r="I390" s="13"/>
      <c r="J390" s="13"/>
      <c r="K390" s="2"/>
      <c r="L390" s="8"/>
      <c r="M390" s="2"/>
      <c r="N390" s="2"/>
      <c r="O390" s="2"/>
      <c r="P390" s="2"/>
      <c r="Q390" s="2"/>
    </row>
    <row r="391" spans="1:17" x14ac:dyDescent="0.25">
      <c r="A391" s="2"/>
      <c r="B391" s="2"/>
      <c r="C391" s="2"/>
      <c r="D391" s="2"/>
      <c r="E391" s="2"/>
      <c r="F391" s="13"/>
      <c r="G391" s="2"/>
      <c r="H391" s="2"/>
      <c r="I391" s="13"/>
      <c r="J391" s="13"/>
      <c r="K391" s="2"/>
      <c r="L391" s="8"/>
      <c r="M391" s="2"/>
      <c r="N391" s="2"/>
      <c r="O391" s="2"/>
      <c r="P391" s="2"/>
      <c r="Q391" s="2"/>
    </row>
    <row r="392" spans="1:17" x14ac:dyDescent="0.25">
      <c r="A392" s="2"/>
      <c r="B392" s="2"/>
      <c r="C392" s="2"/>
      <c r="D392" s="2"/>
      <c r="E392" s="2"/>
      <c r="F392" s="13"/>
      <c r="G392" s="2"/>
      <c r="H392" s="2"/>
      <c r="I392" s="13"/>
      <c r="J392" s="13"/>
      <c r="K392" s="2"/>
      <c r="L392" s="8"/>
      <c r="M392" s="2"/>
      <c r="N392" s="2"/>
      <c r="O392" s="2"/>
      <c r="P392" s="2"/>
      <c r="Q392" s="2"/>
    </row>
    <row r="393" spans="1:17" x14ac:dyDescent="0.25">
      <c r="A393" s="2"/>
      <c r="B393" s="2"/>
      <c r="C393" s="2"/>
      <c r="D393" s="2"/>
      <c r="E393" s="2"/>
      <c r="F393" s="13"/>
      <c r="G393" s="2"/>
      <c r="H393" s="2"/>
      <c r="I393" s="13"/>
      <c r="J393" s="13"/>
      <c r="K393" s="2"/>
      <c r="L393" s="8"/>
      <c r="M393" s="2"/>
      <c r="N393" s="2"/>
      <c r="O393" s="2"/>
      <c r="P393" s="2"/>
      <c r="Q393" s="2"/>
    </row>
    <row r="394" spans="1:17" x14ac:dyDescent="0.25">
      <c r="A394" s="2"/>
      <c r="B394" s="2"/>
      <c r="C394" s="2"/>
      <c r="D394" s="2"/>
      <c r="E394" s="2"/>
      <c r="F394" s="13"/>
      <c r="G394" s="2"/>
      <c r="H394" s="2"/>
      <c r="I394" s="13"/>
      <c r="J394" s="13"/>
      <c r="K394" s="2"/>
      <c r="L394" s="8"/>
      <c r="M394" s="2"/>
      <c r="N394" s="2"/>
      <c r="O394" s="2"/>
      <c r="P394" s="2"/>
      <c r="Q394" s="2"/>
    </row>
    <row r="395" spans="1:17" x14ac:dyDescent="0.25">
      <c r="A395" s="2"/>
      <c r="B395" s="2"/>
      <c r="C395" s="2"/>
      <c r="D395" s="2"/>
      <c r="E395" s="2"/>
      <c r="F395" s="13"/>
      <c r="G395" s="2"/>
      <c r="H395" s="2"/>
      <c r="I395" s="13"/>
      <c r="J395" s="13"/>
      <c r="K395" s="2"/>
      <c r="L395" s="8"/>
      <c r="M395" s="2"/>
      <c r="N395" s="2"/>
      <c r="O395" s="2"/>
      <c r="P395" s="2"/>
      <c r="Q395" s="2"/>
    </row>
    <row r="396" spans="1:17" x14ac:dyDescent="0.25">
      <c r="A396" s="2"/>
      <c r="B396" s="2"/>
      <c r="C396" s="2"/>
      <c r="D396" s="2"/>
      <c r="E396" s="2"/>
      <c r="F396" s="13"/>
      <c r="G396" s="2"/>
      <c r="H396" s="2"/>
      <c r="I396" s="13"/>
      <c r="J396" s="13"/>
      <c r="K396" s="2"/>
      <c r="L396" s="8"/>
      <c r="M396" s="2"/>
      <c r="N396" s="2"/>
      <c r="O396" s="2"/>
      <c r="P396" s="2"/>
      <c r="Q396" s="2"/>
    </row>
    <row r="397" spans="1:17" x14ac:dyDescent="0.25">
      <c r="A397" s="2"/>
      <c r="B397" s="2"/>
      <c r="C397" s="2"/>
      <c r="D397" s="2"/>
      <c r="E397" s="2"/>
      <c r="F397" s="13"/>
      <c r="G397" s="2"/>
      <c r="H397" s="2"/>
      <c r="I397" s="13"/>
      <c r="J397" s="13"/>
      <c r="K397" s="2"/>
      <c r="L397" s="8"/>
      <c r="M397" s="2"/>
      <c r="N397" s="2"/>
      <c r="O397" s="2"/>
      <c r="P397" s="2"/>
      <c r="Q397" s="2"/>
    </row>
    <row r="398" spans="1:17" x14ac:dyDescent="0.25">
      <c r="A398" s="2"/>
      <c r="B398" s="2"/>
      <c r="C398" s="2"/>
      <c r="D398" s="2"/>
      <c r="E398" s="2"/>
      <c r="F398" s="13"/>
      <c r="G398" s="2"/>
      <c r="H398" s="2"/>
      <c r="I398" s="13"/>
      <c r="J398" s="13"/>
      <c r="K398" s="2"/>
      <c r="L398" s="8"/>
      <c r="M398" s="2"/>
      <c r="N398" s="2"/>
      <c r="O398" s="2"/>
      <c r="P398" s="2"/>
      <c r="Q398" s="2"/>
    </row>
    <row r="399" spans="1:17" x14ac:dyDescent="0.25">
      <c r="A399" s="2"/>
      <c r="B399" s="2"/>
      <c r="C399" s="2"/>
      <c r="D399" s="2"/>
      <c r="E399" s="2"/>
      <c r="F399" s="13"/>
      <c r="G399" s="2"/>
      <c r="H399" s="2"/>
      <c r="I399" s="13"/>
      <c r="J399" s="13"/>
      <c r="K399" s="2"/>
      <c r="L399" s="8"/>
      <c r="M399" s="2"/>
      <c r="N399" s="2"/>
      <c r="O399" s="2"/>
      <c r="P399" s="2"/>
      <c r="Q399" s="2"/>
    </row>
    <row r="400" spans="1:17" x14ac:dyDescent="0.25">
      <c r="A400" s="2"/>
      <c r="B400" s="2"/>
      <c r="C400" s="2"/>
      <c r="D400" s="2"/>
      <c r="E400" s="2"/>
      <c r="F400" s="13"/>
      <c r="G400" s="2"/>
      <c r="H400" s="2"/>
      <c r="I400" s="13"/>
      <c r="J400" s="13"/>
      <c r="K400" s="2"/>
      <c r="L400" s="8"/>
      <c r="M400" s="2"/>
      <c r="N400" s="2"/>
      <c r="O400" s="2"/>
      <c r="P400" s="2"/>
      <c r="Q400" s="2"/>
    </row>
    <row r="401" spans="1:17" x14ac:dyDescent="0.25">
      <c r="A401" s="2"/>
      <c r="B401" s="2"/>
      <c r="C401" s="2"/>
      <c r="D401" s="2"/>
      <c r="E401" s="2"/>
      <c r="F401" s="13"/>
      <c r="G401" s="2"/>
      <c r="H401" s="2"/>
      <c r="I401" s="13"/>
      <c r="J401" s="13"/>
      <c r="K401" s="2"/>
      <c r="L401" s="8"/>
      <c r="M401" s="2"/>
      <c r="N401" s="2"/>
      <c r="O401" s="2"/>
      <c r="P401" s="2"/>
      <c r="Q401" s="2"/>
    </row>
    <row r="402" spans="1:17" x14ac:dyDescent="0.25">
      <c r="A402" s="2"/>
      <c r="B402" s="2"/>
      <c r="C402" s="2"/>
      <c r="D402" s="2"/>
      <c r="E402" s="2"/>
      <c r="F402" s="13"/>
      <c r="G402" s="2"/>
      <c r="H402" s="2"/>
      <c r="I402" s="13"/>
      <c r="J402" s="13"/>
      <c r="K402" s="2"/>
      <c r="L402" s="8"/>
      <c r="M402" s="2"/>
      <c r="N402" s="2"/>
      <c r="O402" s="2"/>
      <c r="P402" s="2"/>
      <c r="Q402" s="2"/>
    </row>
    <row r="403" spans="1:17" x14ac:dyDescent="0.25">
      <c r="A403" s="2"/>
      <c r="B403" s="2"/>
      <c r="C403" s="2"/>
      <c r="D403" s="2"/>
      <c r="E403" s="2"/>
      <c r="F403" s="13"/>
      <c r="G403" s="2"/>
      <c r="H403" s="2"/>
      <c r="I403" s="13"/>
      <c r="J403" s="13"/>
      <c r="K403" s="2"/>
      <c r="L403" s="8"/>
      <c r="M403" s="2"/>
      <c r="N403" s="2"/>
      <c r="O403" s="2"/>
      <c r="P403" s="2"/>
      <c r="Q403" s="2"/>
    </row>
    <row r="404" spans="1:17" x14ac:dyDescent="0.25">
      <c r="A404" s="2"/>
      <c r="B404" s="2"/>
      <c r="C404" s="2"/>
      <c r="D404" s="2"/>
      <c r="E404" s="2"/>
      <c r="F404" s="13"/>
      <c r="G404" s="2"/>
      <c r="H404" s="2"/>
      <c r="I404" s="13"/>
      <c r="J404" s="13"/>
      <c r="K404" s="2"/>
      <c r="L404" s="8"/>
      <c r="M404" s="2"/>
      <c r="N404" s="2"/>
      <c r="O404" s="2"/>
      <c r="P404" s="2"/>
      <c r="Q404" s="2"/>
    </row>
    <row r="405" spans="1:17" x14ac:dyDescent="0.25">
      <c r="A405" s="2"/>
      <c r="B405" s="2"/>
      <c r="C405" s="2"/>
      <c r="D405" s="2"/>
      <c r="E405" s="2"/>
      <c r="F405" s="13"/>
      <c r="G405" s="2"/>
      <c r="H405" s="2"/>
      <c r="I405" s="13"/>
      <c r="J405" s="13"/>
      <c r="K405" s="2"/>
      <c r="L405" s="8"/>
      <c r="M405" s="2"/>
      <c r="N405" s="2"/>
      <c r="O405" s="2"/>
      <c r="P405" s="2"/>
      <c r="Q405" s="2"/>
    </row>
    <row r="406" spans="1:17" x14ac:dyDescent="0.25">
      <c r="A406" s="2"/>
      <c r="B406" s="2"/>
      <c r="C406" s="2"/>
      <c r="D406" s="2"/>
      <c r="E406" s="2"/>
      <c r="F406" s="13"/>
      <c r="G406" s="2"/>
      <c r="H406" s="2"/>
      <c r="I406" s="13"/>
      <c r="J406" s="13"/>
      <c r="K406" s="2"/>
      <c r="L406" s="8"/>
      <c r="M406" s="2"/>
      <c r="N406" s="2"/>
      <c r="O406" s="2"/>
      <c r="P406" s="2"/>
      <c r="Q406" s="2"/>
    </row>
    <row r="407" spans="1:17" x14ac:dyDescent="0.25">
      <c r="A407" s="2"/>
      <c r="B407" s="2"/>
      <c r="C407" s="2"/>
      <c r="D407" s="2"/>
      <c r="E407" s="2"/>
      <c r="F407" s="13"/>
      <c r="G407" s="2"/>
      <c r="H407" s="2"/>
      <c r="I407" s="13"/>
      <c r="J407" s="13"/>
      <c r="K407" s="2"/>
      <c r="L407" s="8"/>
      <c r="M407" s="2"/>
      <c r="N407" s="2"/>
      <c r="O407" s="2"/>
      <c r="P407" s="2"/>
      <c r="Q407" s="2"/>
    </row>
    <row r="408" spans="1:17" x14ac:dyDescent="0.25">
      <c r="A408" s="2"/>
      <c r="B408" s="2"/>
      <c r="C408" s="2"/>
      <c r="D408" s="2"/>
      <c r="E408" s="2"/>
      <c r="F408" s="13"/>
      <c r="G408" s="2"/>
      <c r="H408" s="2"/>
      <c r="I408" s="13"/>
      <c r="J408" s="13"/>
      <c r="K408" s="2"/>
      <c r="L408" s="8"/>
      <c r="M408" s="2"/>
      <c r="N408" s="2"/>
      <c r="O408" s="2"/>
      <c r="P408" s="2"/>
      <c r="Q408" s="2"/>
    </row>
    <row r="409" spans="1:17" x14ac:dyDescent="0.25">
      <c r="A409" s="2"/>
      <c r="B409" s="2"/>
      <c r="C409" s="2"/>
      <c r="D409" s="2"/>
      <c r="E409" s="2"/>
      <c r="F409" s="13"/>
      <c r="G409" s="2"/>
      <c r="H409" s="2"/>
      <c r="I409" s="13"/>
      <c r="J409" s="13"/>
      <c r="K409" s="2"/>
      <c r="L409" s="8"/>
      <c r="M409" s="2"/>
      <c r="N409" s="2"/>
      <c r="O409" s="2"/>
      <c r="P409" s="2"/>
      <c r="Q409" s="2"/>
    </row>
    <row r="410" spans="1:17" x14ac:dyDescent="0.25">
      <c r="A410" s="2"/>
      <c r="B410" s="2"/>
      <c r="C410" s="2"/>
      <c r="D410" s="2"/>
      <c r="E410" s="2"/>
      <c r="F410" s="13"/>
      <c r="G410" s="2"/>
      <c r="H410" s="2"/>
      <c r="I410" s="13"/>
      <c r="J410" s="13"/>
      <c r="K410" s="2"/>
      <c r="L410" s="8"/>
      <c r="M410" s="2"/>
      <c r="N410" s="2"/>
      <c r="O410" s="2"/>
      <c r="P410" s="2"/>
      <c r="Q410" s="2"/>
    </row>
    <row r="411" spans="1:17" x14ac:dyDescent="0.25">
      <c r="A411" s="2"/>
      <c r="B411" s="2"/>
      <c r="C411" s="2"/>
      <c r="D411" s="2"/>
      <c r="E411" s="2"/>
      <c r="F411" s="13"/>
      <c r="G411" s="2"/>
      <c r="H411" s="2"/>
      <c r="I411" s="13"/>
      <c r="J411" s="13"/>
      <c r="K411" s="2"/>
      <c r="L411" s="8"/>
      <c r="M411" s="2"/>
      <c r="N411" s="2"/>
      <c r="O411" s="2"/>
      <c r="P411" s="2"/>
      <c r="Q411" s="2"/>
    </row>
    <row r="412" spans="1:17" x14ac:dyDescent="0.25">
      <c r="A412" s="2"/>
      <c r="B412" s="2"/>
      <c r="C412" s="2"/>
      <c r="D412" s="2"/>
      <c r="E412" s="2"/>
      <c r="F412" s="13"/>
      <c r="G412" s="2"/>
      <c r="H412" s="2"/>
      <c r="I412" s="13"/>
      <c r="J412" s="13"/>
      <c r="K412" s="2"/>
      <c r="L412" s="8"/>
      <c r="M412" s="2"/>
      <c r="N412" s="2"/>
      <c r="O412" s="2"/>
      <c r="P412" s="2"/>
      <c r="Q412" s="2"/>
    </row>
    <row r="413" spans="1:17" x14ac:dyDescent="0.25">
      <c r="A413" s="2"/>
      <c r="B413" s="2"/>
      <c r="C413" s="2"/>
      <c r="D413" s="2"/>
      <c r="E413" s="2"/>
      <c r="F413" s="13"/>
      <c r="G413" s="2"/>
      <c r="H413" s="2"/>
      <c r="I413" s="13"/>
      <c r="J413" s="13"/>
      <c r="K413" s="2"/>
      <c r="L413" s="8"/>
      <c r="M413" s="2"/>
      <c r="N413" s="2"/>
      <c r="O413" s="2"/>
      <c r="P413" s="2"/>
      <c r="Q413" s="2"/>
    </row>
    <row r="414" spans="1:17" x14ac:dyDescent="0.25">
      <c r="A414" s="2"/>
      <c r="B414" s="2"/>
      <c r="C414" s="2"/>
      <c r="D414" s="2"/>
      <c r="E414" s="2"/>
      <c r="F414" s="13"/>
      <c r="G414" s="2"/>
      <c r="H414" s="2"/>
      <c r="I414" s="13"/>
      <c r="J414" s="13"/>
      <c r="K414" s="2"/>
      <c r="L414" s="8"/>
      <c r="M414" s="2"/>
      <c r="N414" s="2"/>
      <c r="O414" s="2"/>
      <c r="P414" s="2"/>
      <c r="Q414" s="2"/>
    </row>
    <row r="415" spans="1:17" x14ac:dyDescent="0.25">
      <c r="A415" s="2"/>
      <c r="B415" s="2"/>
      <c r="C415" s="2"/>
      <c r="D415" s="2"/>
      <c r="E415" s="2"/>
      <c r="F415" s="13"/>
      <c r="G415" s="2"/>
      <c r="H415" s="2"/>
      <c r="I415" s="13"/>
      <c r="J415" s="13"/>
      <c r="K415" s="2"/>
      <c r="L415" s="8"/>
      <c r="M415" s="2"/>
      <c r="N415" s="2"/>
      <c r="O415" s="2"/>
      <c r="P415" s="2"/>
      <c r="Q415" s="2"/>
    </row>
    <row r="416" spans="1:17" x14ac:dyDescent="0.25">
      <c r="A416" s="2"/>
      <c r="B416" s="2"/>
      <c r="C416" s="2"/>
      <c r="D416" s="2"/>
      <c r="E416" s="2"/>
      <c r="F416" s="13"/>
      <c r="G416" s="2"/>
      <c r="H416" s="2"/>
      <c r="I416" s="13"/>
      <c r="J416" s="13"/>
      <c r="K416" s="2"/>
      <c r="L416" s="8"/>
      <c r="M416" s="2"/>
      <c r="N416" s="2"/>
      <c r="O416" s="2"/>
      <c r="P416" s="2"/>
      <c r="Q416" s="2"/>
    </row>
    <row r="417" spans="1:17" x14ac:dyDescent="0.25">
      <c r="A417" s="2"/>
      <c r="B417" s="2"/>
      <c r="C417" s="2"/>
      <c r="D417" s="2"/>
      <c r="E417" s="2"/>
      <c r="F417" s="13"/>
      <c r="G417" s="2"/>
      <c r="H417" s="2"/>
      <c r="I417" s="13"/>
      <c r="J417" s="13"/>
      <c r="K417" s="2"/>
      <c r="L417" s="8"/>
      <c r="M417" s="2"/>
      <c r="N417" s="2"/>
      <c r="O417" s="2"/>
      <c r="P417" s="2"/>
      <c r="Q417" s="2"/>
    </row>
    <row r="418" spans="1:17" x14ac:dyDescent="0.25">
      <c r="A418" s="2"/>
      <c r="B418" s="2"/>
      <c r="C418" s="2"/>
      <c r="D418" s="2"/>
      <c r="E418" s="2"/>
      <c r="F418" s="13"/>
      <c r="G418" s="2"/>
      <c r="H418" s="2"/>
      <c r="I418" s="13"/>
      <c r="J418" s="13"/>
      <c r="K418" s="2"/>
      <c r="L418" s="8"/>
      <c r="M418" s="2"/>
      <c r="N418" s="2"/>
      <c r="O418" s="2"/>
      <c r="P418" s="2"/>
      <c r="Q418" s="2"/>
    </row>
    <row r="419" spans="1:17" x14ac:dyDescent="0.25">
      <c r="A419" s="2"/>
      <c r="B419" s="2"/>
      <c r="C419" s="2"/>
      <c r="D419" s="2"/>
      <c r="E419" s="2"/>
      <c r="F419" s="13"/>
      <c r="G419" s="2"/>
      <c r="H419" s="2"/>
      <c r="I419" s="13"/>
      <c r="J419" s="13"/>
      <c r="K419" s="2"/>
      <c r="L419" s="8"/>
      <c r="M419" s="2"/>
      <c r="N419" s="2"/>
      <c r="O419" s="2"/>
      <c r="P419" s="2"/>
      <c r="Q419" s="2"/>
    </row>
    <row r="420" spans="1:17" x14ac:dyDescent="0.25">
      <c r="A420" s="2"/>
      <c r="B420" s="2"/>
      <c r="C420" s="2"/>
      <c r="D420" s="2"/>
      <c r="E420" s="2"/>
      <c r="F420" s="13"/>
      <c r="G420" s="2"/>
      <c r="H420" s="2"/>
      <c r="I420" s="13"/>
      <c r="J420" s="13"/>
      <c r="K420" s="2"/>
      <c r="L420" s="8"/>
      <c r="M420" s="2"/>
      <c r="N420" s="2"/>
      <c r="O420" s="2"/>
      <c r="P420" s="2"/>
      <c r="Q420" s="2"/>
    </row>
    <row r="421" spans="1:17" x14ac:dyDescent="0.25">
      <c r="A421" s="2"/>
      <c r="B421" s="2"/>
      <c r="C421" s="2"/>
      <c r="D421" s="2"/>
      <c r="E421" s="2"/>
      <c r="F421" s="13"/>
      <c r="G421" s="2"/>
      <c r="H421" s="2"/>
      <c r="I421" s="13"/>
      <c r="J421" s="13"/>
      <c r="K421" s="2"/>
      <c r="L421" s="8"/>
      <c r="M421" s="2"/>
      <c r="N421" s="2"/>
      <c r="O421" s="2"/>
      <c r="P421" s="2"/>
      <c r="Q421" s="2"/>
    </row>
    <row r="422" spans="1:17" x14ac:dyDescent="0.25">
      <c r="A422" s="2"/>
      <c r="B422" s="2"/>
      <c r="C422" s="2"/>
      <c r="D422" s="2"/>
      <c r="E422" s="2"/>
      <c r="F422" s="13"/>
      <c r="G422" s="2"/>
      <c r="H422" s="2"/>
      <c r="I422" s="13"/>
      <c r="J422" s="13"/>
      <c r="K422" s="2"/>
      <c r="L422" s="8"/>
      <c r="M422" s="2"/>
      <c r="N422" s="2"/>
      <c r="O422" s="2"/>
      <c r="P422" s="2"/>
      <c r="Q422" s="2"/>
    </row>
    <row r="423" spans="1:17" x14ac:dyDescent="0.25">
      <c r="A423" s="2"/>
      <c r="B423" s="2"/>
      <c r="C423" s="2"/>
      <c r="D423" s="2"/>
      <c r="E423" s="2"/>
      <c r="F423" s="13"/>
      <c r="G423" s="2"/>
      <c r="H423" s="2"/>
      <c r="I423" s="13"/>
      <c r="J423" s="13"/>
      <c r="K423" s="2"/>
      <c r="L423" s="8"/>
      <c r="M423" s="2"/>
      <c r="N423" s="2"/>
      <c r="O423" s="2"/>
      <c r="P423" s="2"/>
      <c r="Q423" s="2"/>
    </row>
    <row r="424" spans="1:17" x14ac:dyDescent="0.25">
      <c r="A424" s="2"/>
      <c r="B424" s="2"/>
      <c r="C424" s="2"/>
      <c r="D424" s="2"/>
      <c r="E424" s="2"/>
      <c r="F424" s="13"/>
      <c r="G424" s="2"/>
      <c r="H424" s="2"/>
      <c r="I424" s="13"/>
      <c r="J424" s="13"/>
      <c r="K424" s="2"/>
      <c r="L424" s="8"/>
      <c r="M424" s="2"/>
      <c r="N424" s="2"/>
      <c r="O424" s="2"/>
      <c r="P424" s="2"/>
      <c r="Q424" s="2"/>
    </row>
    <row r="425" spans="1:17" x14ac:dyDescent="0.25">
      <c r="A425" s="2"/>
      <c r="B425" s="2"/>
      <c r="C425" s="2"/>
      <c r="D425" s="2"/>
      <c r="E425" s="2"/>
      <c r="F425" s="13"/>
      <c r="G425" s="2"/>
      <c r="H425" s="2"/>
      <c r="I425" s="13"/>
      <c r="J425" s="13"/>
      <c r="K425" s="2"/>
      <c r="L425" s="8"/>
      <c r="M425" s="2"/>
      <c r="N425" s="2"/>
      <c r="O425" s="2"/>
      <c r="P425" s="2"/>
      <c r="Q425" s="2"/>
    </row>
    <row r="426" spans="1:17" x14ac:dyDescent="0.25">
      <c r="A426" s="2"/>
      <c r="B426" s="2"/>
      <c r="C426" s="2"/>
      <c r="D426" s="2"/>
      <c r="E426" s="2"/>
      <c r="F426" s="13"/>
      <c r="G426" s="2"/>
      <c r="H426" s="2"/>
      <c r="I426" s="13"/>
      <c r="J426" s="13"/>
      <c r="K426" s="2"/>
      <c r="L426" s="8"/>
      <c r="M426" s="2"/>
      <c r="N426" s="2"/>
      <c r="O426" s="2"/>
      <c r="P426" s="2"/>
      <c r="Q426" s="2"/>
    </row>
    <row r="427" spans="1:17" x14ac:dyDescent="0.25">
      <c r="A427" s="2"/>
      <c r="B427" s="2"/>
      <c r="C427" s="2"/>
      <c r="D427" s="2"/>
      <c r="E427" s="2"/>
      <c r="F427" s="13"/>
      <c r="G427" s="2"/>
      <c r="H427" s="2"/>
      <c r="I427" s="13"/>
      <c r="J427" s="13"/>
      <c r="K427" s="2"/>
      <c r="L427" s="8"/>
      <c r="M427" s="2"/>
      <c r="N427" s="2"/>
      <c r="O427" s="2"/>
      <c r="P427" s="2"/>
      <c r="Q427" s="2"/>
    </row>
    <row r="428" spans="1:17" x14ac:dyDescent="0.25">
      <c r="A428" s="2"/>
      <c r="B428" s="2"/>
      <c r="C428" s="2"/>
      <c r="D428" s="2"/>
      <c r="E428" s="2"/>
      <c r="F428" s="13"/>
      <c r="G428" s="2"/>
      <c r="H428" s="2"/>
      <c r="I428" s="13"/>
      <c r="J428" s="13"/>
      <c r="K428" s="2"/>
      <c r="L428" s="8"/>
      <c r="M428" s="2"/>
      <c r="N428" s="2"/>
      <c r="O428" s="2"/>
      <c r="P428" s="2"/>
      <c r="Q428" s="2"/>
    </row>
    <row r="429" spans="1:17" x14ac:dyDescent="0.25">
      <c r="A429" s="2"/>
      <c r="B429" s="2"/>
      <c r="C429" s="2"/>
      <c r="D429" s="2"/>
      <c r="E429" s="2"/>
      <c r="F429" s="13"/>
      <c r="G429" s="2"/>
      <c r="H429" s="2"/>
      <c r="I429" s="13"/>
      <c r="J429" s="13"/>
      <c r="K429" s="2"/>
      <c r="L429" s="8"/>
      <c r="M429" s="2"/>
      <c r="N429" s="2"/>
      <c r="O429" s="2"/>
      <c r="P429" s="2"/>
      <c r="Q429" s="2"/>
    </row>
    <row r="430" spans="1:17" x14ac:dyDescent="0.25">
      <c r="A430" s="2"/>
      <c r="B430" s="2"/>
      <c r="C430" s="2"/>
      <c r="D430" s="2"/>
      <c r="E430" s="2"/>
      <c r="F430" s="13"/>
      <c r="G430" s="2"/>
      <c r="H430" s="2"/>
      <c r="I430" s="13"/>
      <c r="J430" s="13"/>
      <c r="K430" s="2"/>
      <c r="L430" s="8"/>
      <c r="M430" s="2"/>
      <c r="N430" s="2"/>
      <c r="O430" s="2"/>
      <c r="P430" s="2"/>
      <c r="Q430" s="2"/>
    </row>
    <row r="431" spans="1:17" x14ac:dyDescent="0.25">
      <c r="A431" s="2"/>
      <c r="B431" s="2"/>
      <c r="C431" s="2"/>
      <c r="D431" s="2"/>
      <c r="E431" s="2"/>
      <c r="F431" s="13"/>
      <c r="G431" s="2"/>
      <c r="H431" s="2"/>
      <c r="I431" s="13"/>
      <c r="J431" s="13"/>
      <c r="K431" s="2"/>
      <c r="L431" s="8"/>
      <c r="M431" s="2"/>
      <c r="N431" s="2"/>
      <c r="O431" s="2"/>
      <c r="P431" s="2"/>
      <c r="Q431" s="2"/>
    </row>
    <row r="432" spans="1:17" x14ac:dyDescent="0.25">
      <c r="A432" s="2"/>
      <c r="B432" s="2"/>
      <c r="C432" s="2"/>
      <c r="D432" s="2"/>
      <c r="E432" s="2"/>
      <c r="F432" s="13"/>
      <c r="G432" s="2"/>
      <c r="H432" s="2"/>
      <c r="I432" s="13"/>
      <c r="J432" s="13"/>
      <c r="K432" s="2"/>
      <c r="L432" s="8"/>
      <c r="M432" s="2"/>
      <c r="N432" s="2"/>
      <c r="O432" s="2"/>
      <c r="P432" s="2"/>
      <c r="Q432" s="2"/>
    </row>
    <row r="433" spans="1:17" x14ac:dyDescent="0.25">
      <c r="A433" s="2"/>
      <c r="B433" s="2"/>
      <c r="C433" s="2"/>
      <c r="D433" s="2"/>
      <c r="E433" s="2"/>
      <c r="F433" s="13"/>
      <c r="G433" s="2"/>
      <c r="H433" s="2"/>
      <c r="I433" s="13"/>
      <c r="J433" s="13"/>
      <c r="K433" s="2"/>
      <c r="L433" s="8"/>
      <c r="M433" s="2"/>
      <c r="N433" s="2"/>
      <c r="O433" s="2"/>
      <c r="P433" s="2"/>
      <c r="Q433" s="2"/>
    </row>
    <row r="434" spans="1:17" x14ac:dyDescent="0.25">
      <c r="A434" s="2"/>
      <c r="B434" s="2"/>
      <c r="C434" s="2"/>
      <c r="D434" s="2"/>
      <c r="E434" s="2"/>
      <c r="F434" s="13"/>
      <c r="G434" s="2"/>
      <c r="H434" s="2"/>
      <c r="I434" s="13"/>
      <c r="J434" s="13"/>
      <c r="K434" s="2"/>
      <c r="L434" s="8"/>
      <c r="M434" s="2"/>
      <c r="N434" s="2"/>
      <c r="O434" s="2"/>
      <c r="P434" s="2"/>
      <c r="Q434" s="2"/>
    </row>
    <row r="435" spans="1:17" x14ac:dyDescent="0.25">
      <c r="A435" s="2"/>
      <c r="B435" s="2"/>
      <c r="C435" s="2"/>
      <c r="D435" s="2"/>
      <c r="E435" s="2"/>
      <c r="F435" s="13"/>
      <c r="G435" s="2"/>
      <c r="H435" s="2"/>
      <c r="I435" s="13"/>
      <c r="J435" s="13"/>
      <c r="K435" s="2"/>
      <c r="L435" s="8"/>
      <c r="M435" s="2"/>
      <c r="N435" s="2"/>
      <c r="O435" s="2"/>
      <c r="P435" s="2"/>
      <c r="Q435" s="2"/>
    </row>
    <row r="436" spans="1:17" x14ac:dyDescent="0.25">
      <c r="A436" s="2"/>
      <c r="B436" s="2"/>
      <c r="C436" s="2"/>
      <c r="D436" s="2"/>
      <c r="E436" s="2"/>
      <c r="F436" s="13"/>
      <c r="G436" s="2"/>
      <c r="H436" s="2"/>
      <c r="I436" s="13"/>
      <c r="J436" s="13"/>
      <c r="K436" s="2"/>
      <c r="L436" s="8"/>
      <c r="M436" s="2"/>
      <c r="N436" s="2"/>
      <c r="O436" s="2"/>
      <c r="P436" s="2"/>
      <c r="Q436" s="2"/>
    </row>
    <row r="437" spans="1:17" x14ac:dyDescent="0.25">
      <c r="A437" s="2"/>
      <c r="B437" s="2"/>
      <c r="C437" s="2"/>
      <c r="D437" s="2"/>
      <c r="E437" s="2"/>
      <c r="F437" s="13"/>
      <c r="G437" s="2"/>
      <c r="H437" s="2"/>
      <c r="I437" s="13"/>
      <c r="J437" s="13"/>
      <c r="K437" s="2"/>
      <c r="L437" s="8"/>
      <c r="M437" s="2"/>
      <c r="N437" s="2"/>
      <c r="O437" s="2"/>
      <c r="P437" s="2"/>
      <c r="Q437" s="2"/>
    </row>
    <row r="438" spans="1:17" x14ac:dyDescent="0.25">
      <c r="A438" s="2"/>
      <c r="B438" s="2"/>
      <c r="C438" s="2"/>
      <c r="D438" s="2"/>
      <c r="E438" s="2"/>
      <c r="F438" s="13"/>
      <c r="G438" s="2"/>
      <c r="H438" s="2"/>
      <c r="I438" s="13"/>
      <c r="J438" s="13"/>
      <c r="K438" s="2"/>
      <c r="L438" s="8"/>
      <c r="M438" s="2"/>
      <c r="N438" s="2"/>
      <c r="O438" s="2"/>
      <c r="P438" s="2"/>
      <c r="Q438" s="2"/>
    </row>
    <row r="439" spans="1:17" x14ac:dyDescent="0.25">
      <c r="A439" s="2"/>
      <c r="B439" s="2"/>
      <c r="C439" s="2"/>
      <c r="D439" s="2"/>
      <c r="E439" s="2"/>
      <c r="F439" s="13"/>
      <c r="G439" s="2"/>
      <c r="H439" s="2"/>
      <c r="I439" s="13"/>
      <c r="J439" s="13"/>
      <c r="K439" s="2"/>
      <c r="L439" s="8"/>
      <c r="M439" s="2"/>
      <c r="N439" s="2"/>
      <c r="O439" s="2"/>
      <c r="P439" s="2"/>
      <c r="Q439" s="2"/>
    </row>
    <row r="440" spans="1:17" x14ac:dyDescent="0.25">
      <c r="A440" s="2"/>
      <c r="B440" s="2"/>
      <c r="C440" s="2"/>
      <c r="D440" s="2"/>
      <c r="E440" s="2"/>
      <c r="F440" s="13"/>
      <c r="G440" s="2"/>
      <c r="H440" s="2"/>
      <c r="I440" s="13"/>
      <c r="J440" s="13"/>
      <c r="K440" s="2"/>
      <c r="L440" s="8"/>
      <c r="M440" s="2"/>
      <c r="N440" s="2"/>
      <c r="O440" s="2"/>
      <c r="P440" s="2"/>
      <c r="Q440" s="2"/>
    </row>
    <row r="441" spans="1:17" x14ac:dyDescent="0.25">
      <c r="A441" s="2"/>
      <c r="B441" s="2"/>
      <c r="C441" s="2"/>
      <c r="D441" s="2"/>
      <c r="E441" s="2"/>
      <c r="F441" s="13"/>
      <c r="G441" s="2"/>
      <c r="H441" s="2"/>
      <c r="I441" s="13"/>
      <c r="J441" s="13"/>
      <c r="K441" s="2"/>
      <c r="L441" s="8"/>
      <c r="M441" s="2"/>
      <c r="N441" s="2"/>
      <c r="O441" s="2"/>
      <c r="P441" s="2"/>
      <c r="Q441" s="2"/>
    </row>
    <row r="442" spans="1:17" x14ac:dyDescent="0.25">
      <c r="A442" s="2"/>
      <c r="B442" s="2"/>
      <c r="C442" s="2"/>
      <c r="D442" s="2"/>
      <c r="E442" s="2"/>
      <c r="F442" s="13"/>
      <c r="G442" s="2"/>
      <c r="H442" s="2"/>
      <c r="I442" s="13"/>
      <c r="J442" s="13"/>
      <c r="K442" s="2"/>
      <c r="L442" s="8"/>
      <c r="M442" s="2"/>
      <c r="N442" s="2"/>
      <c r="O442" s="2"/>
      <c r="P442" s="2"/>
      <c r="Q442" s="2"/>
    </row>
    <row r="443" spans="1:17" x14ac:dyDescent="0.25">
      <c r="A443" s="2"/>
      <c r="B443" s="2"/>
      <c r="C443" s="2"/>
      <c r="D443" s="2"/>
      <c r="E443" s="2"/>
      <c r="F443" s="13"/>
      <c r="G443" s="2"/>
      <c r="H443" s="2"/>
      <c r="I443" s="13"/>
      <c r="J443" s="13"/>
      <c r="K443" s="2"/>
      <c r="L443" s="8"/>
      <c r="M443" s="2"/>
      <c r="N443" s="2"/>
      <c r="O443" s="2"/>
      <c r="P443" s="2"/>
      <c r="Q443" s="2"/>
    </row>
    <row r="444" spans="1:17" x14ac:dyDescent="0.25">
      <c r="A444" s="2"/>
      <c r="B444" s="2"/>
      <c r="C444" s="2"/>
      <c r="D444" s="2"/>
      <c r="E444" s="2"/>
      <c r="F444" s="13"/>
      <c r="G444" s="2"/>
      <c r="H444" s="2"/>
      <c r="I444" s="13"/>
      <c r="J444" s="13"/>
      <c r="K444" s="2"/>
      <c r="L444" s="8"/>
      <c r="M444" s="2"/>
      <c r="N444" s="2"/>
      <c r="O444" s="2"/>
      <c r="P444" s="2"/>
      <c r="Q444" s="2"/>
    </row>
    <row r="445" spans="1:17" x14ac:dyDescent="0.25">
      <c r="A445" s="2"/>
      <c r="B445" s="2"/>
      <c r="C445" s="2"/>
      <c r="D445" s="2"/>
      <c r="E445" s="2"/>
      <c r="F445" s="13"/>
      <c r="G445" s="2"/>
      <c r="H445" s="2"/>
      <c r="I445" s="13"/>
      <c r="J445" s="13"/>
      <c r="K445" s="2"/>
      <c r="L445" s="8"/>
      <c r="M445" s="2"/>
      <c r="N445" s="2"/>
      <c r="O445" s="2"/>
      <c r="P445" s="2"/>
      <c r="Q445" s="2"/>
    </row>
    <row r="446" spans="1:17" x14ac:dyDescent="0.25">
      <c r="A446" s="2"/>
      <c r="B446" s="2"/>
      <c r="C446" s="2"/>
      <c r="D446" s="2"/>
      <c r="E446" s="2"/>
      <c r="F446" s="13"/>
      <c r="G446" s="2"/>
      <c r="H446" s="2"/>
      <c r="I446" s="13"/>
      <c r="J446" s="13"/>
      <c r="K446" s="2"/>
      <c r="L446" s="8"/>
      <c r="M446" s="2"/>
      <c r="N446" s="2"/>
      <c r="O446" s="2"/>
      <c r="P446" s="2"/>
      <c r="Q446" s="2"/>
    </row>
    <row r="447" spans="1:17" x14ac:dyDescent="0.25">
      <c r="A447" s="2"/>
      <c r="B447" s="2"/>
      <c r="C447" s="2"/>
      <c r="D447" s="2"/>
      <c r="E447" s="2"/>
      <c r="F447" s="13"/>
      <c r="G447" s="2"/>
      <c r="H447" s="2"/>
      <c r="I447" s="13"/>
      <c r="J447" s="13"/>
      <c r="K447" s="2"/>
      <c r="L447" s="8"/>
      <c r="M447" s="2"/>
      <c r="N447" s="2"/>
      <c r="O447" s="2"/>
      <c r="P447" s="2"/>
      <c r="Q447" s="2"/>
    </row>
    <row r="448" spans="1:17" x14ac:dyDescent="0.25">
      <c r="A448" s="2"/>
      <c r="B448" s="2"/>
      <c r="C448" s="2"/>
      <c r="D448" s="2"/>
      <c r="E448" s="2"/>
      <c r="F448" s="13"/>
      <c r="G448" s="2"/>
      <c r="H448" s="2"/>
      <c r="I448" s="13"/>
      <c r="J448" s="13"/>
      <c r="K448" s="2"/>
      <c r="L448" s="8"/>
      <c r="M448" s="2"/>
      <c r="N448" s="2"/>
      <c r="O448" s="2"/>
      <c r="P448" s="2"/>
      <c r="Q448" s="2"/>
    </row>
    <row r="449" spans="1:17" x14ac:dyDescent="0.25">
      <c r="A449" s="2"/>
      <c r="B449" s="2"/>
      <c r="C449" s="2"/>
      <c r="D449" s="2"/>
      <c r="E449" s="2"/>
      <c r="F449" s="13"/>
      <c r="G449" s="2"/>
      <c r="H449" s="2"/>
      <c r="I449" s="13"/>
      <c r="J449" s="13"/>
      <c r="K449" s="2"/>
      <c r="L449" s="8"/>
      <c r="M449" s="2"/>
      <c r="N449" s="2"/>
      <c r="O449" s="2"/>
      <c r="P449" s="2"/>
      <c r="Q449" s="2"/>
    </row>
    <row r="450" spans="1:17" x14ac:dyDescent="0.25">
      <c r="A450" s="2"/>
      <c r="B450" s="2"/>
      <c r="C450" s="2"/>
      <c r="D450" s="2"/>
      <c r="E450" s="2"/>
      <c r="F450" s="13"/>
      <c r="G450" s="2"/>
      <c r="H450" s="2"/>
      <c r="I450" s="13"/>
      <c r="J450" s="13"/>
      <c r="K450" s="2"/>
      <c r="L450" s="8"/>
      <c r="M450" s="2"/>
      <c r="N450" s="2"/>
      <c r="O450" s="2"/>
      <c r="P450" s="2"/>
      <c r="Q450" s="2"/>
    </row>
    <row r="451" spans="1:17" x14ac:dyDescent="0.25">
      <c r="A451" s="2"/>
      <c r="B451" s="2"/>
      <c r="C451" s="2"/>
      <c r="D451" s="2"/>
      <c r="E451" s="2"/>
      <c r="F451" s="13"/>
      <c r="G451" s="2"/>
      <c r="H451" s="2"/>
      <c r="I451" s="13"/>
      <c r="J451" s="13"/>
      <c r="K451" s="2"/>
      <c r="L451" s="8"/>
      <c r="M451" s="2"/>
      <c r="N451" s="2"/>
      <c r="O451" s="2"/>
      <c r="P451" s="2"/>
      <c r="Q451" s="2"/>
    </row>
    <row r="452" spans="1:17" x14ac:dyDescent="0.25">
      <c r="A452" s="2"/>
      <c r="B452" s="2"/>
      <c r="C452" s="2"/>
      <c r="D452" s="2"/>
      <c r="E452" s="2"/>
      <c r="F452" s="13"/>
      <c r="G452" s="2"/>
      <c r="H452" s="2"/>
      <c r="I452" s="13"/>
      <c r="J452" s="13"/>
      <c r="K452" s="2"/>
      <c r="L452" s="8"/>
      <c r="M452" s="2"/>
      <c r="N452" s="2"/>
      <c r="O452" s="2"/>
      <c r="P452" s="2"/>
      <c r="Q452" s="2"/>
    </row>
    <row r="453" spans="1:17" x14ac:dyDescent="0.25">
      <c r="A453" s="2"/>
      <c r="B453" s="2"/>
      <c r="C453" s="2"/>
      <c r="D453" s="2"/>
      <c r="E453" s="2"/>
      <c r="F453" s="13"/>
      <c r="G453" s="2"/>
      <c r="H453" s="2"/>
      <c r="I453" s="13"/>
      <c r="J453" s="13"/>
      <c r="K453" s="2"/>
      <c r="L453" s="8"/>
      <c r="M453" s="2"/>
      <c r="N453" s="2"/>
      <c r="O453" s="2"/>
      <c r="P453" s="2"/>
      <c r="Q453" s="2"/>
    </row>
    <row r="454" spans="1:17" x14ac:dyDescent="0.25">
      <c r="A454" s="2"/>
      <c r="B454" s="2"/>
      <c r="C454" s="2"/>
      <c r="D454" s="2"/>
      <c r="E454" s="2"/>
      <c r="F454" s="13"/>
      <c r="G454" s="2"/>
      <c r="H454" s="2"/>
      <c r="I454" s="13"/>
      <c r="J454" s="13"/>
      <c r="K454" s="2"/>
      <c r="L454" s="8"/>
      <c r="M454" s="2"/>
      <c r="N454" s="2"/>
      <c r="O454" s="2"/>
      <c r="P454" s="2"/>
      <c r="Q454" s="2"/>
    </row>
    <row r="455" spans="1:17" x14ac:dyDescent="0.25">
      <c r="A455" s="2"/>
      <c r="B455" s="2"/>
      <c r="C455" s="2"/>
      <c r="D455" s="2"/>
      <c r="E455" s="2"/>
      <c r="F455" s="13"/>
      <c r="G455" s="2"/>
      <c r="H455" s="2"/>
      <c r="I455" s="13"/>
      <c r="J455" s="13"/>
      <c r="K455" s="2"/>
      <c r="L455" s="8"/>
      <c r="M455" s="2"/>
      <c r="N455" s="2"/>
      <c r="O455" s="2"/>
      <c r="P455" s="2"/>
      <c r="Q455" s="2"/>
    </row>
    <row r="456" spans="1:17" x14ac:dyDescent="0.25">
      <c r="A456" s="2"/>
      <c r="B456" s="2"/>
      <c r="C456" s="2"/>
      <c r="D456" s="2"/>
      <c r="E456" s="2"/>
      <c r="F456" s="13"/>
      <c r="G456" s="2"/>
      <c r="H456" s="2"/>
      <c r="I456" s="13"/>
      <c r="J456" s="13"/>
      <c r="K456" s="2"/>
      <c r="L456" s="8"/>
      <c r="M456" s="2"/>
      <c r="N456" s="2"/>
      <c r="O456" s="2"/>
      <c r="P456" s="2"/>
      <c r="Q456" s="2"/>
    </row>
    <row r="457" spans="1:17" x14ac:dyDescent="0.25">
      <c r="A457" s="2"/>
      <c r="B457" s="2"/>
      <c r="C457" s="2"/>
      <c r="D457" s="2"/>
      <c r="E457" s="2"/>
      <c r="F457" s="13"/>
      <c r="G457" s="2"/>
      <c r="H457" s="2"/>
      <c r="I457" s="13"/>
      <c r="J457" s="13"/>
      <c r="K457" s="2"/>
      <c r="L457" s="8"/>
      <c r="M457" s="2"/>
      <c r="N457" s="2"/>
      <c r="O457" s="2"/>
      <c r="P457" s="2"/>
      <c r="Q457" s="2"/>
    </row>
    <row r="458" spans="1:17" x14ac:dyDescent="0.25">
      <c r="A458" s="2"/>
      <c r="B458" s="2"/>
      <c r="C458" s="2"/>
      <c r="D458" s="2"/>
      <c r="E458" s="2"/>
      <c r="F458" s="13"/>
      <c r="G458" s="2"/>
      <c r="H458" s="2"/>
      <c r="I458" s="13"/>
      <c r="J458" s="13"/>
      <c r="K458" s="2"/>
      <c r="L458" s="8"/>
      <c r="M458" s="2"/>
      <c r="N458" s="2"/>
      <c r="O458" s="2"/>
      <c r="P458" s="2"/>
      <c r="Q458" s="2"/>
    </row>
    <row r="459" spans="1:17" x14ac:dyDescent="0.25">
      <c r="A459" s="2"/>
      <c r="B459" s="2"/>
      <c r="C459" s="2"/>
      <c r="D459" s="2"/>
      <c r="E459" s="2"/>
      <c r="F459" s="13"/>
      <c r="G459" s="2"/>
      <c r="H459" s="2"/>
      <c r="I459" s="13"/>
      <c r="J459" s="13"/>
      <c r="K459" s="2"/>
      <c r="L459" s="8"/>
      <c r="M459" s="2"/>
      <c r="N459" s="2"/>
      <c r="O459" s="2"/>
      <c r="P459" s="2"/>
      <c r="Q459" s="2"/>
    </row>
    <row r="460" spans="1:17" x14ac:dyDescent="0.25">
      <c r="A460" s="2"/>
      <c r="B460" s="2"/>
      <c r="C460" s="2"/>
      <c r="D460" s="2"/>
      <c r="E460" s="2"/>
      <c r="F460" s="13"/>
      <c r="G460" s="2"/>
      <c r="H460" s="2"/>
      <c r="I460" s="13"/>
      <c r="J460" s="13"/>
      <c r="K460" s="2"/>
      <c r="L460" s="8"/>
      <c r="M460" s="2"/>
      <c r="N460" s="2"/>
      <c r="O460" s="2"/>
      <c r="P460" s="2"/>
      <c r="Q460" s="2"/>
    </row>
    <row r="461" spans="1:17" x14ac:dyDescent="0.25">
      <c r="A461" s="2"/>
      <c r="B461" s="2"/>
      <c r="C461" s="2"/>
      <c r="D461" s="2"/>
      <c r="E461" s="2"/>
      <c r="F461" s="13"/>
      <c r="G461" s="2"/>
      <c r="H461" s="2"/>
      <c r="I461" s="13"/>
      <c r="J461" s="13"/>
      <c r="K461" s="2"/>
      <c r="L461" s="8"/>
      <c r="M461" s="2"/>
      <c r="N461" s="2"/>
      <c r="O461" s="2"/>
      <c r="P461" s="2"/>
      <c r="Q461" s="2"/>
    </row>
    <row r="462" spans="1:17" x14ac:dyDescent="0.25">
      <c r="A462" s="2"/>
      <c r="B462" s="2"/>
      <c r="C462" s="2"/>
      <c r="D462" s="2"/>
      <c r="E462" s="2"/>
      <c r="F462" s="13"/>
      <c r="G462" s="2"/>
      <c r="H462" s="2"/>
      <c r="I462" s="13"/>
      <c r="J462" s="13"/>
      <c r="K462" s="2"/>
      <c r="L462" s="8"/>
      <c r="M462" s="2"/>
      <c r="N462" s="2"/>
      <c r="O462" s="2"/>
      <c r="P462" s="2"/>
      <c r="Q462" s="2"/>
    </row>
    <row r="463" spans="1:17" x14ac:dyDescent="0.25">
      <c r="A463" s="2"/>
      <c r="B463" s="2"/>
      <c r="C463" s="2"/>
      <c r="D463" s="2"/>
      <c r="E463" s="2"/>
      <c r="F463" s="13"/>
      <c r="G463" s="2"/>
      <c r="H463" s="2"/>
      <c r="I463" s="13"/>
      <c r="J463" s="13"/>
      <c r="K463" s="2"/>
      <c r="L463" s="8"/>
      <c r="M463" s="2"/>
      <c r="N463" s="2"/>
      <c r="O463" s="2"/>
      <c r="P463" s="2"/>
      <c r="Q463" s="2"/>
    </row>
    <row r="464" spans="1:17" x14ac:dyDescent="0.25">
      <c r="A464" s="2"/>
      <c r="B464" s="2"/>
      <c r="C464" s="2"/>
      <c r="D464" s="2"/>
      <c r="E464" s="2"/>
      <c r="F464" s="13"/>
      <c r="G464" s="2"/>
      <c r="H464" s="2"/>
      <c r="I464" s="13"/>
      <c r="J464" s="13"/>
      <c r="K464" s="2"/>
      <c r="L464" s="8"/>
      <c r="M464" s="2"/>
      <c r="N464" s="2"/>
      <c r="O464" s="2"/>
      <c r="P464" s="2"/>
      <c r="Q464" s="2"/>
    </row>
    <row r="465" spans="1:17" x14ac:dyDescent="0.25">
      <c r="A465" s="2"/>
      <c r="B465" s="2"/>
      <c r="C465" s="2"/>
      <c r="D465" s="2"/>
      <c r="E465" s="2"/>
      <c r="F465" s="13"/>
      <c r="G465" s="2"/>
      <c r="H465" s="2"/>
      <c r="I465" s="13"/>
      <c r="J465" s="13"/>
      <c r="K465" s="2"/>
      <c r="L465" s="8"/>
      <c r="M465" s="2"/>
      <c r="N465" s="2"/>
      <c r="O465" s="2"/>
      <c r="P465" s="2"/>
      <c r="Q465" s="2"/>
    </row>
    <row r="466" spans="1:17" x14ac:dyDescent="0.25">
      <c r="A466" s="2"/>
      <c r="B466" s="2"/>
      <c r="C466" s="2"/>
      <c r="D466" s="2"/>
      <c r="E466" s="2"/>
      <c r="F466" s="13"/>
      <c r="G466" s="2"/>
      <c r="H466" s="2"/>
      <c r="I466" s="13"/>
      <c r="J466" s="13"/>
      <c r="K466" s="2"/>
      <c r="L466" s="8"/>
      <c r="M466" s="2"/>
      <c r="N466" s="2"/>
      <c r="O466" s="2"/>
      <c r="P466" s="2"/>
      <c r="Q466" s="2"/>
    </row>
    <row r="467" spans="1:17" x14ac:dyDescent="0.25">
      <c r="A467" s="2"/>
      <c r="B467" s="2"/>
      <c r="C467" s="2"/>
      <c r="D467" s="2"/>
      <c r="E467" s="2"/>
      <c r="F467" s="13"/>
      <c r="G467" s="2"/>
      <c r="H467" s="2"/>
      <c r="I467" s="13"/>
      <c r="J467" s="13"/>
      <c r="K467" s="2"/>
      <c r="L467" s="8"/>
      <c r="M467" s="2"/>
      <c r="N467" s="2"/>
      <c r="O467" s="2"/>
      <c r="P467" s="2"/>
      <c r="Q467" s="2"/>
    </row>
    <row r="468" spans="1:17" x14ac:dyDescent="0.25">
      <c r="A468" s="2"/>
      <c r="B468" s="2"/>
      <c r="C468" s="2"/>
      <c r="D468" s="2"/>
      <c r="E468" s="2"/>
      <c r="F468" s="13"/>
      <c r="G468" s="2"/>
      <c r="H468" s="2"/>
      <c r="I468" s="13"/>
      <c r="J468" s="13"/>
      <c r="K468" s="2"/>
      <c r="L468" s="8"/>
      <c r="M468" s="2"/>
      <c r="N468" s="2"/>
      <c r="O468" s="2"/>
      <c r="P468" s="2"/>
      <c r="Q468" s="2"/>
    </row>
    <row r="469" spans="1:17" x14ac:dyDescent="0.25">
      <c r="A469" s="2"/>
      <c r="B469" s="2"/>
      <c r="C469" s="2"/>
      <c r="D469" s="2"/>
      <c r="E469" s="2"/>
      <c r="F469" s="13"/>
      <c r="G469" s="2"/>
      <c r="H469" s="2"/>
      <c r="I469" s="13"/>
      <c r="J469" s="13"/>
      <c r="K469" s="2"/>
      <c r="L469" s="8"/>
      <c r="M469" s="2"/>
      <c r="N469" s="2"/>
      <c r="O469" s="2"/>
      <c r="P469" s="2"/>
      <c r="Q469" s="2"/>
    </row>
    <row r="470" spans="1:17" x14ac:dyDescent="0.25">
      <c r="A470" s="2"/>
      <c r="B470" s="2"/>
      <c r="C470" s="2"/>
      <c r="D470" s="2"/>
      <c r="E470" s="2"/>
      <c r="F470" s="13"/>
      <c r="G470" s="2"/>
      <c r="H470" s="2"/>
      <c r="I470" s="13"/>
      <c r="J470" s="13"/>
      <c r="K470" s="2"/>
      <c r="L470" s="8"/>
      <c r="M470" s="2"/>
      <c r="N470" s="2"/>
      <c r="O470" s="2"/>
      <c r="P470" s="2"/>
      <c r="Q470" s="2"/>
    </row>
    <row r="471" spans="1:17" x14ac:dyDescent="0.25">
      <c r="A471" s="2"/>
      <c r="B471" s="2"/>
      <c r="C471" s="2"/>
      <c r="D471" s="2"/>
      <c r="E471" s="2"/>
      <c r="F471" s="13"/>
      <c r="G471" s="2"/>
      <c r="H471" s="2"/>
      <c r="I471" s="13"/>
      <c r="J471" s="13"/>
      <c r="K471" s="2"/>
      <c r="L471" s="8"/>
      <c r="M471" s="2"/>
      <c r="N471" s="2"/>
      <c r="O471" s="2"/>
      <c r="P471" s="2"/>
      <c r="Q471" s="2"/>
    </row>
    <row r="472" spans="1:17" x14ac:dyDescent="0.25">
      <c r="A472" s="2"/>
      <c r="B472" s="2"/>
      <c r="C472" s="2"/>
      <c r="D472" s="2"/>
      <c r="E472" s="2"/>
      <c r="F472" s="13"/>
      <c r="G472" s="2"/>
      <c r="H472" s="2"/>
      <c r="I472" s="13"/>
      <c r="J472" s="13"/>
      <c r="K472" s="2"/>
      <c r="L472" s="8"/>
      <c r="M472" s="2"/>
      <c r="N472" s="2"/>
      <c r="O472" s="2"/>
      <c r="P472" s="2"/>
      <c r="Q472" s="2"/>
    </row>
    <row r="473" spans="1:17" x14ac:dyDescent="0.25">
      <c r="A473" s="2"/>
      <c r="B473" s="2"/>
      <c r="C473" s="2"/>
      <c r="D473" s="2"/>
      <c r="E473" s="2"/>
      <c r="F473" s="13"/>
      <c r="G473" s="2"/>
      <c r="H473" s="2"/>
      <c r="I473" s="13"/>
      <c r="J473" s="13"/>
      <c r="K473" s="2"/>
      <c r="L473" s="8"/>
      <c r="M473" s="2"/>
      <c r="N473" s="2"/>
      <c r="O473" s="2"/>
      <c r="P473" s="2"/>
      <c r="Q473" s="2"/>
    </row>
    <row r="474" spans="1:17" x14ac:dyDescent="0.25">
      <c r="A474" s="2"/>
      <c r="B474" s="2"/>
      <c r="C474" s="2"/>
      <c r="D474" s="2"/>
      <c r="E474" s="2"/>
      <c r="F474" s="13"/>
      <c r="G474" s="2"/>
      <c r="H474" s="2"/>
      <c r="I474" s="13"/>
      <c r="J474" s="13"/>
      <c r="K474" s="2"/>
      <c r="L474" s="8"/>
      <c r="M474" s="2"/>
      <c r="N474" s="2"/>
      <c r="O474" s="2"/>
      <c r="P474" s="2"/>
      <c r="Q474" s="2"/>
    </row>
    <row r="475" spans="1:17" x14ac:dyDescent="0.25">
      <c r="A475" s="2"/>
      <c r="B475" s="2"/>
      <c r="C475" s="2"/>
      <c r="D475" s="2"/>
      <c r="E475" s="2"/>
      <c r="F475" s="13"/>
      <c r="G475" s="2"/>
      <c r="H475" s="2"/>
      <c r="I475" s="13"/>
      <c r="J475" s="13"/>
      <c r="K475" s="2"/>
      <c r="L475" s="8"/>
      <c r="M475" s="2"/>
      <c r="N475" s="2"/>
      <c r="O475" s="2"/>
      <c r="P475" s="2"/>
      <c r="Q475" s="2"/>
    </row>
    <row r="476" spans="1:17" x14ac:dyDescent="0.25">
      <c r="A476" s="2"/>
      <c r="B476" s="2"/>
      <c r="C476" s="2"/>
      <c r="D476" s="2"/>
      <c r="E476" s="2"/>
      <c r="F476" s="13"/>
      <c r="G476" s="2"/>
      <c r="H476" s="2"/>
      <c r="I476" s="13"/>
      <c r="J476" s="13"/>
      <c r="K476" s="2"/>
      <c r="L476" s="8"/>
      <c r="M476" s="2"/>
      <c r="N476" s="2"/>
      <c r="O476" s="2"/>
      <c r="P476" s="2"/>
      <c r="Q476" s="2"/>
    </row>
    <row r="477" spans="1:17" x14ac:dyDescent="0.25">
      <c r="A477" s="2"/>
      <c r="B477" s="2"/>
      <c r="C477" s="2"/>
      <c r="D477" s="2"/>
      <c r="E477" s="2"/>
      <c r="F477" s="13"/>
      <c r="G477" s="2"/>
      <c r="H477" s="2"/>
      <c r="I477" s="13"/>
      <c r="J477" s="13"/>
      <c r="K477" s="2"/>
      <c r="L477" s="8"/>
      <c r="M477" s="2"/>
      <c r="N477" s="2"/>
      <c r="O477" s="2"/>
      <c r="P477" s="2"/>
      <c r="Q477" s="2"/>
    </row>
    <row r="478" spans="1:17" x14ac:dyDescent="0.25">
      <c r="A478" s="2"/>
      <c r="B478" s="2"/>
      <c r="C478" s="2"/>
      <c r="D478" s="2"/>
      <c r="E478" s="2"/>
      <c r="F478" s="13"/>
      <c r="G478" s="2"/>
      <c r="H478" s="2"/>
      <c r="I478" s="13"/>
      <c r="J478" s="13"/>
      <c r="K478" s="2"/>
      <c r="L478" s="8"/>
      <c r="M478" s="2"/>
      <c r="N478" s="2"/>
      <c r="O478" s="2"/>
      <c r="P478" s="2"/>
      <c r="Q478" s="2"/>
    </row>
    <row r="479" spans="1:17" x14ac:dyDescent="0.25">
      <c r="A479" s="2"/>
      <c r="B479" s="2"/>
      <c r="C479" s="2"/>
      <c r="D479" s="2"/>
      <c r="E479" s="2"/>
      <c r="F479" s="13"/>
      <c r="G479" s="2"/>
      <c r="H479" s="2"/>
      <c r="I479" s="13"/>
      <c r="J479" s="13"/>
      <c r="K479" s="2"/>
      <c r="L479" s="8"/>
      <c r="M479" s="2"/>
      <c r="N479" s="2"/>
      <c r="O479" s="2"/>
      <c r="P479" s="2"/>
      <c r="Q479" s="2"/>
    </row>
    <row r="480" spans="1:17" x14ac:dyDescent="0.25">
      <c r="A480" s="2"/>
      <c r="B480" s="2"/>
      <c r="C480" s="2"/>
      <c r="D480" s="2"/>
      <c r="E480" s="2"/>
      <c r="F480" s="13"/>
      <c r="G480" s="2"/>
      <c r="H480" s="2"/>
      <c r="I480" s="13"/>
      <c r="J480" s="13"/>
      <c r="K480" s="2"/>
      <c r="L480" s="8"/>
      <c r="M480" s="2"/>
      <c r="N480" s="2"/>
      <c r="O480" s="2"/>
      <c r="P480" s="2"/>
      <c r="Q480" s="2"/>
    </row>
    <row r="481" spans="1:17" x14ac:dyDescent="0.25">
      <c r="A481" s="2"/>
      <c r="B481" s="2"/>
      <c r="C481" s="2"/>
      <c r="D481" s="2"/>
      <c r="E481" s="2"/>
      <c r="F481" s="13"/>
      <c r="G481" s="2"/>
      <c r="H481" s="2"/>
      <c r="I481" s="13"/>
      <c r="J481" s="13"/>
      <c r="K481" s="2"/>
      <c r="L481" s="8"/>
      <c r="M481" s="2"/>
      <c r="N481" s="2"/>
      <c r="O481" s="2"/>
      <c r="P481" s="2"/>
      <c r="Q481" s="2"/>
    </row>
    <row r="482" spans="1:17" x14ac:dyDescent="0.25">
      <c r="A482" s="2"/>
      <c r="B482" s="2"/>
      <c r="C482" s="2"/>
      <c r="D482" s="2"/>
      <c r="E482" s="2"/>
      <c r="F482" s="13"/>
      <c r="G482" s="2"/>
      <c r="H482" s="2"/>
      <c r="I482" s="13"/>
      <c r="J482" s="13"/>
      <c r="K482" s="2"/>
      <c r="L482" s="8"/>
      <c r="M482" s="2"/>
      <c r="N482" s="2"/>
      <c r="O482" s="2"/>
      <c r="P482" s="2"/>
      <c r="Q482" s="2"/>
    </row>
    <row r="483" spans="1:17" x14ac:dyDescent="0.25">
      <c r="A483" s="2"/>
      <c r="B483" s="2"/>
      <c r="C483" s="2"/>
      <c r="D483" s="2"/>
      <c r="E483" s="2"/>
      <c r="F483" s="13"/>
      <c r="G483" s="2"/>
      <c r="H483" s="2"/>
      <c r="I483" s="13"/>
      <c r="J483" s="13"/>
      <c r="K483" s="2"/>
      <c r="L483" s="8"/>
      <c r="M483" s="2"/>
      <c r="N483" s="2"/>
      <c r="O483" s="2"/>
      <c r="P483" s="2"/>
      <c r="Q483" s="2"/>
    </row>
    <row r="484" spans="1:17" x14ac:dyDescent="0.25">
      <c r="A484" s="2"/>
      <c r="B484" s="2"/>
      <c r="C484" s="2"/>
      <c r="D484" s="2"/>
      <c r="E484" s="2"/>
      <c r="F484" s="13"/>
      <c r="G484" s="2"/>
      <c r="H484" s="2"/>
      <c r="I484" s="13"/>
      <c r="J484" s="13"/>
      <c r="K484" s="2"/>
      <c r="L484" s="8"/>
      <c r="M484" s="2"/>
      <c r="N484" s="2"/>
      <c r="O484" s="2"/>
      <c r="P484" s="2"/>
      <c r="Q484" s="2"/>
    </row>
    <row r="485" spans="1:17" x14ac:dyDescent="0.25">
      <c r="A485" s="2"/>
      <c r="B485" s="2"/>
      <c r="C485" s="2"/>
      <c r="D485" s="2"/>
      <c r="E485" s="2"/>
      <c r="F485" s="13"/>
      <c r="G485" s="2"/>
      <c r="H485" s="2"/>
      <c r="I485" s="13"/>
      <c r="J485" s="13"/>
      <c r="K485" s="2"/>
      <c r="L485" s="8"/>
      <c r="M485" s="2"/>
      <c r="N485" s="2"/>
      <c r="O485" s="2"/>
      <c r="P485" s="2"/>
      <c r="Q485" s="2"/>
    </row>
    <row r="486" spans="1:17" x14ac:dyDescent="0.25">
      <c r="A486" s="2"/>
      <c r="B486" s="2"/>
      <c r="C486" s="2"/>
      <c r="D486" s="2"/>
      <c r="E486" s="2"/>
      <c r="F486" s="13"/>
      <c r="G486" s="2"/>
      <c r="H486" s="2"/>
      <c r="I486" s="13"/>
      <c r="J486" s="13"/>
      <c r="K486" s="2"/>
      <c r="L486" s="8"/>
      <c r="M486" s="2"/>
      <c r="N486" s="2"/>
      <c r="O486" s="2"/>
      <c r="P486" s="2"/>
      <c r="Q486" s="2"/>
    </row>
    <row r="487" spans="1:17" x14ac:dyDescent="0.25">
      <c r="A487" s="2"/>
      <c r="B487" s="2"/>
      <c r="C487" s="2"/>
      <c r="D487" s="2"/>
      <c r="E487" s="2"/>
      <c r="F487" s="13"/>
      <c r="G487" s="2"/>
      <c r="H487" s="2"/>
      <c r="I487" s="13"/>
      <c r="J487" s="13"/>
      <c r="K487" s="2"/>
      <c r="L487" s="8"/>
      <c r="M487" s="2"/>
      <c r="N487" s="2"/>
      <c r="O487" s="2"/>
      <c r="P487" s="2"/>
      <c r="Q487" s="2"/>
    </row>
    <row r="488" spans="1:17" x14ac:dyDescent="0.25">
      <c r="A488" s="2"/>
      <c r="B488" s="2"/>
      <c r="C488" s="2"/>
      <c r="D488" s="2"/>
      <c r="E488" s="2"/>
      <c r="F488" s="13"/>
      <c r="G488" s="2"/>
      <c r="H488" s="2"/>
      <c r="I488" s="13"/>
      <c r="J488" s="13"/>
      <c r="K488" s="2"/>
      <c r="L488" s="8"/>
      <c r="M488" s="2"/>
      <c r="N488" s="2"/>
      <c r="O488" s="2"/>
      <c r="P488" s="2"/>
      <c r="Q488" s="2"/>
    </row>
    <row r="489" spans="1:17" x14ac:dyDescent="0.25">
      <c r="A489" s="2"/>
      <c r="B489" s="2"/>
      <c r="C489" s="2"/>
      <c r="D489" s="2"/>
      <c r="E489" s="2"/>
      <c r="F489" s="13"/>
      <c r="G489" s="2"/>
      <c r="H489" s="2"/>
      <c r="I489" s="13"/>
      <c r="J489" s="13"/>
      <c r="K489" s="2"/>
      <c r="L489" s="8"/>
      <c r="M489" s="2"/>
      <c r="N489" s="2"/>
      <c r="O489" s="2"/>
      <c r="P489" s="2"/>
      <c r="Q489" s="2"/>
    </row>
    <row r="490" spans="1:17" x14ac:dyDescent="0.25">
      <c r="A490" s="2"/>
      <c r="B490" s="2"/>
      <c r="C490" s="2"/>
      <c r="D490" s="2"/>
      <c r="E490" s="2"/>
      <c r="F490" s="13"/>
      <c r="G490" s="2"/>
      <c r="H490" s="2"/>
      <c r="I490" s="13"/>
      <c r="J490" s="13"/>
      <c r="K490" s="2"/>
      <c r="L490" s="8"/>
      <c r="M490" s="2"/>
      <c r="N490" s="2"/>
      <c r="O490" s="2"/>
      <c r="P490" s="2"/>
      <c r="Q490" s="2"/>
    </row>
    <row r="491" spans="1:17" x14ac:dyDescent="0.25">
      <c r="A491" s="2"/>
      <c r="B491" s="2"/>
      <c r="C491" s="2"/>
      <c r="D491" s="2"/>
      <c r="E491" s="2"/>
      <c r="F491" s="13"/>
      <c r="G491" s="2"/>
      <c r="H491" s="2"/>
      <c r="I491" s="13"/>
      <c r="J491" s="13"/>
      <c r="K491" s="2"/>
      <c r="L491" s="8"/>
      <c r="M491" s="2"/>
      <c r="N491" s="2"/>
      <c r="O491" s="2"/>
      <c r="P491" s="2"/>
      <c r="Q491" s="2"/>
    </row>
    <row r="492" spans="1:17" x14ac:dyDescent="0.25">
      <c r="A492" s="2"/>
      <c r="B492" s="2"/>
      <c r="C492" s="2"/>
      <c r="D492" s="2"/>
      <c r="E492" s="2"/>
      <c r="F492" s="13"/>
      <c r="G492" s="2"/>
      <c r="H492" s="2"/>
      <c r="I492" s="13"/>
      <c r="J492" s="13"/>
      <c r="K492" s="2"/>
      <c r="L492" s="8"/>
      <c r="M492" s="2"/>
      <c r="N492" s="2"/>
      <c r="O492" s="2"/>
      <c r="P492" s="2"/>
      <c r="Q492" s="2"/>
    </row>
    <row r="493" spans="1:17" x14ac:dyDescent="0.25">
      <c r="A493" s="2"/>
      <c r="B493" s="2"/>
      <c r="C493" s="2"/>
      <c r="D493" s="2"/>
      <c r="E493" s="2"/>
      <c r="F493" s="13"/>
      <c r="G493" s="2"/>
      <c r="H493" s="2"/>
      <c r="I493" s="13"/>
      <c r="J493" s="13"/>
      <c r="K493" s="2"/>
      <c r="L493" s="8"/>
      <c r="M493" s="2"/>
      <c r="N493" s="2"/>
      <c r="O493" s="2"/>
      <c r="P493" s="2"/>
      <c r="Q493" s="2"/>
    </row>
    <row r="494" spans="1:17" x14ac:dyDescent="0.25">
      <c r="A494" s="2"/>
      <c r="B494" s="2"/>
      <c r="C494" s="2"/>
      <c r="D494" s="2"/>
      <c r="E494" s="2"/>
      <c r="F494" s="13"/>
      <c r="G494" s="2"/>
      <c r="H494" s="2"/>
      <c r="I494" s="13"/>
      <c r="J494" s="13"/>
      <c r="K494" s="2"/>
      <c r="L494" s="8"/>
      <c r="M494" s="2"/>
      <c r="N494" s="2"/>
      <c r="O494" s="2"/>
      <c r="P494" s="2"/>
      <c r="Q494" s="2"/>
    </row>
    <row r="495" spans="1:17" x14ac:dyDescent="0.25">
      <c r="A495" s="2"/>
      <c r="B495" s="2"/>
      <c r="C495" s="2"/>
      <c r="D495" s="2"/>
      <c r="E495" s="2"/>
      <c r="F495" s="13"/>
      <c r="G495" s="2"/>
      <c r="H495" s="2"/>
      <c r="I495" s="13"/>
      <c r="J495" s="13"/>
      <c r="K495" s="2"/>
      <c r="L495" s="8"/>
      <c r="M495" s="2"/>
      <c r="N495" s="2"/>
      <c r="O495" s="2"/>
      <c r="P495" s="2"/>
      <c r="Q495" s="2"/>
    </row>
    <row r="496" spans="1:17" x14ac:dyDescent="0.25">
      <c r="A496" s="2"/>
      <c r="B496" s="2"/>
      <c r="C496" s="2"/>
      <c r="D496" s="2"/>
      <c r="E496" s="2"/>
      <c r="F496" s="13"/>
      <c r="G496" s="2"/>
      <c r="H496" s="2"/>
      <c r="I496" s="13"/>
      <c r="J496" s="13"/>
      <c r="K496" s="2"/>
      <c r="L496" s="8"/>
      <c r="M496" s="2"/>
      <c r="N496" s="2"/>
      <c r="O496" s="2"/>
      <c r="P496" s="2"/>
      <c r="Q496" s="2"/>
    </row>
    <row r="497" spans="1:17" x14ac:dyDescent="0.25">
      <c r="A497" s="2"/>
      <c r="B497" s="2"/>
      <c r="C497" s="2"/>
      <c r="D497" s="2"/>
      <c r="E497" s="2"/>
      <c r="F497" s="13"/>
      <c r="G497" s="2"/>
      <c r="H497" s="2"/>
      <c r="I497" s="13"/>
      <c r="J497" s="13"/>
      <c r="K497" s="2"/>
      <c r="L497" s="8"/>
      <c r="M497" s="2"/>
      <c r="N497" s="2"/>
      <c r="O497" s="2"/>
      <c r="P497" s="2"/>
      <c r="Q497" s="2"/>
    </row>
    <row r="498" spans="1:17" x14ac:dyDescent="0.25">
      <c r="A498" s="2"/>
      <c r="B498" s="2"/>
      <c r="C498" s="2"/>
      <c r="D498" s="2"/>
      <c r="E498" s="2"/>
      <c r="F498" s="13"/>
      <c r="G498" s="2"/>
      <c r="H498" s="2"/>
      <c r="I498" s="13"/>
      <c r="J498" s="13"/>
      <c r="K498" s="2"/>
      <c r="L498" s="8"/>
      <c r="M498" s="2"/>
      <c r="N498" s="2"/>
      <c r="O498" s="2"/>
      <c r="P498" s="2"/>
      <c r="Q498" s="2"/>
    </row>
    <row r="499" spans="1:17" x14ac:dyDescent="0.25">
      <c r="A499" s="2"/>
      <c r="B499" s="2"/>
      <c r="C499" s="2"/>
      <c r="D499" s="2"/>
      <c r="E499" s="2"/>
      <c r="F499" s="13"/>
      <c r="G499" s="2"/>
      <c r="H499" s="2"/>
      <c r="I499" s="13"/>
      <c r="J499" s="13"/>
      <c r="K499" s="2"/>
      <c r="L499" s="8"/>
      <c r="M499" s="2"/>
      <c r="N499" s="2"/>
      <c r="O499" s="2"/>
      <c r="P499" s="2"/>
      <c r="Q499" s="2"/>
    </row>
    <row r="500" spans="1:17" x14ac:dyDescent="0.25">
      <c r="A500" s="2"/>
      <c r="B500" s="2"/>
      <c r="C500" s="2"/>
      <c r="D500" s="2"/>
      <c r="E500" s="2"/>
      <c r="F500" s="13"/>
      <c r="G500" s="2"/>
      <c r="H500" s="2"/>
      <c r="I500" s="13"/>
      <c r="J500" s="13"/>
      <c r="K500" s="2"/>
      <c r="L500" s="8"/>
      <c r="M500" s="2"/>
      <c r="N500" s="2"/>
      <c r="O500" s="2"/>
      <c r="P500" s="2"/>
      <c r="Q500" s="2"/>
    </row>
    <row r="501" spans="1:17" x14ac:dyDescent="0.25">
      <c r="A501" s="2"/>
      <c r="B501" s="2"/>
      <c r="C501" s="2"/>
      <c r="D501" s="2"/>
      <c r="E501" s="2"/>
      <c r="F501" s="13"/>
      <c r="G501" s="2"/>
      <c r="H501" s="2"/>
      <c r="I501" s="13"/>
      <c r="J501" s="13"/>
      <c r="K501" s="2"/>
      <c r="L501" s="8"/>
      <c r="M501" s="2"/>
      <c r="N501" s="2"/>
      <c r="O501" s="2"/>
      <c r="P501" s="2"/>
      <c r="Q501" s="2"/>
    </row>
    <row r="502" spans="1:17" x14ac:dyDescent="0.25">
      <c r="A502" s="2"/>
      <c r="B502" s="2"/>
      <c r="C502" s="2"/>
      <c r="D502" s="2"/>
      <c r="E502" s="2"/>
      <c r="F502" s="13"/>
      <c r="G502" s="2"/>
      <c r="H502" s="2"/>
      <c r="I502" s="13"/>
      <c r="J502" s="13"/>
      <c r="K502" s="2"/>
      <c r="L502" s="8"/>
      <c r="M502" s="2"/>
      <c r="N502" s="2"/>
      <c r="O502" s="2"/>
      <c r="P502" s="2"/>
      <c r="Q502" s="2"/>
    </row>
    <row r="503" spans="1:17" x14ac:dyDescent="0.25">
      <c r="A503" s="2"/>
      <c r="B503" s="2"/>
      <c r="C503" s="2"/>
      <c r="D503" s="2"/>
      <c r="E503" s="2"/>
      <c r="F503" s="13"/>
      <c r="G503" s="2"/>
      <c r="H503" s="2"/>
      <c r="I503" s="13"/>
      <c r="J503" s="13"/>
      <c r="K503" s="2"/>
      <c r="L503" s="8"/>
      <c r="M503" s="2"/>
      <c r="N503" s="2"/>
      <c r="O503" s="2"/>
      <c r="P503" s="2"/>
      <c r="Q503" s="2"/>
    </row>
    <row r="504" spans="1:17" x14ac:dyDescent="0.25">
      <c r="A504" s="2"/>
      <c r="B504" s="2"/>
      <c r="C504" s="2"/>
      <c r="D504" s="2"/>
      <c r="E504" s="2"/>
      <c r="F504" s="13"/>
      <c r="G504" s="2"/>
      <c r="H504" s="2"/>
      <c r="I504" s="13"/>
      <c r="J504" s="13"/>
      <c r="K504" s="2"/>
      <c r="L504" s="8"/>
      <c r="M504" s="2"/>
      <c r="N504" s="2"/>
      <c r="O504" s="2"/>
      <c r="P504" s="2"/>
      <c r="Q504" s="2"/>
    </row>
    <row r="505" spans="1:17" ht="65.25" customHeight="1" x14ac:dyDescent="0.25">
      <c r="A505" s="2"/>
      <c r="B505" s="2"/>
      <c r="C505" s="2"/>
      <c r="D505" s="2"/>
      <c r="E505" s="2"/>
      <c r="F505" s="2"/>
      <c r="G505" s="2"/>
      <c r="H505" s="2"/>
      <c r="I505" s="13"/>
      <c r="J505" s="13"/>
      <c r="K505" s="2"/>
      <c r="L505" s="8"/>
      <c r="M505" s="2"/>
      <c r="N505" s="2"/>
      <c r="O505" s="2"/>
      <c r="P505" s="2"/>
      <c r="Q505" s="2"/>
    </row>
  </sheetData>
  <autoFilter ref="A3:Q499" xr:uid="{00000000-0009-0000-0000-000005000000}"/>
  <conditionalFormatting sqref="L505">
    <cfRule type="cellIs" dxfId="27" priority="362" operator="equal">
      <formula>"Pass"</formula>
    </cfRule>
    <cfRule type="cellIs" dxfId="26" priority="363" operator="equal">
      <formula>"Fail"</formula>
    </cfRule>
    <cfRule type="cellIs" dxfId="25" priority="364" operator="equal">
      <formula>"Blocked"</formula>
    </cfRule>
    <cfRule type="cellIs" dxfId="24" priority="365" operator="equal">
      <formula>"Not Run"</formula>
    </cfRule>
  </conditionalFormatting>
  <conditionalFormatting sqref="L137:L504">
    <cfRule type="cellIs" dxfId="23" priority="257" operator="equal">
      <formula>"Pass"</formula>
    </cfRule>
    <cfRule type="cellIs" dxfId="22" priority="258" operator="equal">
      <formula>"Fail"</formula>
    </cfRule>
    <cfRule type="cellIs" dxfId="21" priority="259" operator="equal">
      <formula>"Blocked"</formula>
    </cfRule>
    <cfRule type="cellIs" dxfId="20" priority="260" operator="equal">
      <formula>"Not Run"</formula>
    </cfRule>
  </conditionalFormatting>
  <conditionalFormatting sqref="L137:L504">
    <cfRule type="cellIs" dxfId="19" priority="253" operator="equal">
      <formula>"Pass"</formula>
    </cfRule>
    <cfRule type="cellIs" dxfId="18" priority="254" operator="equal">
      <formula>"Fail"</formula>
    </cfRule>
    <cfRule type="cellIs" dxfId="17" priority="255" operator="equal">
      <formula>"Blocked"</formula>
    </cfRule>
    <cfRule type="cellIs" dxfId="16" priority="256" operator="equal">
      <formula>"Not Run"</formula>
    </cfRule>
  </conditionalFormatting>
  <conditionalFormatting sqref="L9:L136">
    <cfRule type="cellIs" dxfId="15" priority="1" operator="equal">
      <formula>"Pass"</formula>
    </cfRule>
    <cfRule type="cellIs" dxfId="14" priority="2" operator="equal">
      <formula>"Fail"</formula>
    </cfRule>
    <cfRule type="cellIs" dxfId="13" priority="3" operator="equal">
      <formula>"Blocked"</formula>
    </cfRule>
    <cfRule type="cellIs" dxfId="12" priority="4" operator="equal">
      <formula>"Not Run"</formula>
    </cfRule>
  </conditionalFormatting>
  <conditionalFormatting sqref="L4">
    <cfRule type="cellIs" dxfId="11" priority="13" operator="equal">
      <formula>"Pass"</formula>
    </cfRule>
    <cfRule type="cellIs" dxfId="10" priority="14" operator="equal">
      <formula>"Fail"</formula>
    </cfRule>
    <cfRule type="cellIs" dxfId="9" priority="15" operator="equal">
      <formula>"Blocked"</formula>
    </cfRule>
    <cfRule type="cellIs" dxfId="8" priority="16" operator="equal">
      <formula>"Not Run"</formula>
    </cfRule>
  </conditionalFormatting>
  <conditionalFormatting sqref="L5">
    <cfRule type="cellIs" dxfId="7" priority="9" operator="equal">
      <formula>"Pass"</formula>
    </cfRule>
    <cfRule type="cellIs" dxfId="6" priority="10" operator="equal">
      <formula>"Fail"</formula>
    </cfRule>
    <cfRule type="cellIs" dxfId="5" priority="11" operator="equal">
      <formula>"Blocked"</formula>
    </cfRule>
    <cfRule type="cellIs" dxfId="4" priority="12" operator="equal">
      <formula>"Not Run"</formula>
    </cfRule>
  </conditionalFormatting>
  <conditionalFormatting sqref="L6:L8">
    <cfRule type="cellIs" dxfId="3" priority="5" operator="equal">
      <formula>"Pass"</formula>
    </cfRule>
    <cfRule type="cellIs" dxfId="2" priority="6" operator="equal">
      <formula>"Fail"</formula>
    </cfRule>
    <cfRule type="cellIs" dxfId="1" priority="7" operator="equal">
      <formula>"Blocked"</formula>
    </cfRule>
    <cfRule type="cellIs" dxfId="0" priority="8" operator="equal">
      <formula>"Not Run"</formula>
    </cfRule>
  </conditionalFormatting>
  <dataValidations count="4">
    <dataValidation type="list" allowBlank="1" sqref="B4:B499" xr:uid="{00000000-0002-0000-0500-000000000000}">
      <formula1>"SC-01,SC-02,SC-03,SC-04,SC-05,SC-06,SC-07,SC-08,SC-09,SC-10,SC-11,SC-12,SC-13,SC-14,SC-15,SC-16"</formula1>
      <formula2>0</formula2>
    </dataValidation>
    <dataValidation type="list" allowBlank="1" sqref="E4:E499" xr:uid="{00000000-0002-0000-0500-000001000000}">
      <formula1>"Positive,Negative,Validation,Boundary,Permission,Integration,UI"</formula1>
      <formula2>0</formula2>
    </dataValidation>
    <dataValidation type="list" allowBlank="1" sqref="L4:L499" xr:uid="{00000000-0002-0000-0500-000002000000}">
      <formula1>"Not Run,Pass,Fail,Blocked"</formula1>
      <formula2>0</formula2>
    </dataValidation>
    <dataValidation type="list" allowBlank="1" sqref="M4:M499" xr:uid="{00000000-0002-0000-0500-000003000000}">
      <formula1>"High,Medium,Low"</formula1>
      <formula2>0</formula2>
    </dataValidation>
  </dataValidations>
  <pageMargins left="0.75" right="0.75" top="1" bottom="1"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14"/>
  <sheetViews>
    <sheetView zoomScaleNormal="100" workbookViewId="0">
      <pane xSplit="2" ySplit="3" topLeftCell="J7" activePane="bottomRight" state="frozen"/>
      <selection activeCell="C19" sqref="C19"/>
      <selection pane="topRight" activeCell="C19" sqref="C19"/>
      <selection pane="bottomLeft" activeCell="C19" sqref="C19"/>
      <selection pane="bottomRight" activeCell="C19" sqref="C19"/>
    </sheetView>
  </sheetViews>
  <sheetFormatPr defaultColWidth="8.7109375" defaultRowHeight="15" x14ac:dyDescent="0.25"/>
  <cols>
    <col min="1" max="1" width="11" customWidth="1"/>
    <col min="2" max="2" width="34" customWidth="1"/>
    <col min="3" max="3" width="12.28515625" bestFit="1" customWidth="1"/>
    <col min="4" max="4" width="13" customWidth="1"/>
    <col min="5" max="5" width="14" customWidth="1"/>
    <col min="6" max="6" width="44" customWidth="1"/>
    <col min="7" max="8" width="32" customWidth="1"/>
    <col min="9" max="10" width="11" customWidth="1"/>
    <col min="11" max="11" width="12" customWidth="1"/>
    <col min="12" max="12" width="14" customWidth="1"/>
    <col min="13" max="13" width="13" customWidth="1"/>
    <col min="14" max="14" width="14" customWidth="1"/>
    <col min="15" max="15" width="13" customWidth="1"/>
    <col min="16" max="16" width="106.85546875" customWidth="1"/>
    <col min="17" max="17" width="22" customWidth="1"/>
  </cols>
  <sheetData>
    <row r="1" spans="1:17" ht="18" x14ac:dyDescent="0.25">
      <c r="A1" s="3" t="s">
        <v>467</v>
      </c>
    </row>
    <row r="2" spans="1:17" x14ac:dyDescent="0.25">
      <c r="A2" s="4"/>
    </row>
    <row r="3" spans="1:17" ht="30" customHeight="1" x14ac:dyDescent="0.25">
      <c r="A3" s="12" t="s">
        <v>26</v>
      </c>
      <c r="B3" s="12" t="s">
        <v>28</v>
      </c>
      <c r="C3" s="12" t="s">
        <v>182</v>
      </c>
      <c r="D3" s="12" t="s">
        <v>3</v>
      </c>
      <c r="E3" s="12" t="s">
        <v>468</v>
      </c>
      <c r="F3" s="12" t="s">
        <v>29</v>
      </c>
      <c r="G3" s="12" t="s">
        <v>30</v>
      </c>
      <c r="H3" s="12" t="s">
        <v>31</v>
      </c>
      <c r="I3" s="12" t="s">
        <v>469</v>
      </c>
      <c r="J3" s="12" t="s">
        <v>470</v>
      </c>
      <c r="K3" s="12" t="s">
        <v>95</v>
      </c>
      <c r="L3" s="12" t="s">
        <v>471</v>
      </c>
      <c r="M3" s="12" t="s">
        <v>472</v>
      </c>
      <c r="N3" s="12" t="s">
        <v>473</v>
      </c>
      <c r="O3" s="12" t="s">
        <v>474</v>
      </c>
      <c r="P3" s="12" t="s">
        <v>475</v>
      </c>
      <c r="Q3" s="12" t="s">
        <v>46</v>
      </c>
    </row>
    <row r="4" spans="1:17" ht="102" x14ac:dyDescent="0.25">
      <c r="A4" s="1" t="s">
        <v>27</v>
      </c>
      <c r="B4" s="2" t="s">
        <v>618</v>
      </c>
      <c r="C4" s="2" t="s">
        <v>677</v>
      </c>
      <c r="D4" s="2"/>
      <c r="E4" s="2"/>
      <c r="F4" s="2" t="s">
        <v>619</v>
      </c>
      <c r="G4" s="13" t="s">
        <v>518</v>
      </c>
      <c r="H4" s="2" t="s">
        <v>243</v>
      </c>
      <c r="I4" s="2" t="s">
        <v>16</v>
      </c>
      <c r="J4" s="2" t="s">
        <v>119</v>
      </c>
      <c r="K4" s="2" t="s">
        <v>966</v>
      </c>
      <c r="L4" s="2"/>
      <c r="M4" s="2"/>
      <c r="N4" s="2"/>
      <c r="O4" s="13" t="s">
        <v>640</v>
      </c>
      <c r="P4" s="2"/>
      <c r="Q4" s="2"/>
    </row>
    <row r="5" spans="1:17" ht="102" x14ac:dyDescent="0.25">
      <c r="A5" s="1" t="s">
        <v>559</v>
      </c>
      <c r="B5" s="2" t="s">
        <v>563</v>
      </c>
      <c r="C5" s="2" t="s">
        <v>677</v>
      </c>
      <c r="D5" s="2"/>
      <c r="E5" s="2"/>
      <c r="F5" s="2" t="s">
        <v>564</v>
      </c>
      <c r="G5" s="13" t="s">
        <v>518</v>
      </c>
      <c r="H5" s="2" t="s">
        <v>249</v>
      </c>
      <c r="I5" s="2" t="s">
        <v>16</v>
      </c>
      <c r="J5" s="2" t="s">
        <v>115</v>
      </c>
      <c r="K5" s="2" t="s">
        <v>966</v>
      </c>
      <c r="L5" s="2"/>
      <c r="M5" s="2"/>
      <c r="N5" s="2"/>
      <c r="O5" s="13" t="s">
        <v>641</v>
      </c>
      <c r="P5" s="2"/>
      <c r="Q5" s="2"/>
    </row>
    <row r="6" spans="1:17" ht="80.25" customHeight="1" x14ac:dyDescent="0.25">
      <c r="A6" s="1" t="s">
        <v>560</v>
      </c>
      <c r="B6" s="2" t="s">
        <v>565</v>
      </c>
      <c r="C6" s="2" t="s">
        <v>677</v>
      </c>
      <c r="D6" s="2"/>
      <c r="E6" s="2"/>
      <c r="F6" s="2" t="s">
        <v>503</v>
      </c>
      <c r="G6" s="13" t="s">
        <v>531</v>
      </c>
      <c r="H6" s="2" t="s">
        <v>254</v>
      </c>
      <c r="I6" s="2" t="s">
        <v>17</v>
      </c>
      <c r="J6" s="2" t="s">
        <v>195</v>
      </c>
      <c r="K6" s="2" t="s">
        <v>966</v>
      </c>
      <c r="L6" s="2"/>
      <c r="M6" s="2"/>
      <c r="N6" s="2"/>
      <c r="O6" s="13" t="s">
        <v>644</v>
      </c>
      <c r="P6" s="2"/>
      <c r="Q6" s="2"/>
    </row>
    <row r="7" spans="1:17" ht="114.75" x14ac:dyDescent="0.25">
      <c r="A7" s="1" t="s">
        <v>561</v>
      </c>
      <c r="B7" s="2" t="s">
        <v>567</v>
      </c>
      <c r="C7" s="2" t="s">
        <v>677</v>
      </c>
      <c r="D7" s="2"/>
      <c r="E7" s="2"/>
      <c r="F7" s="2" t="s">
        <v>566</v>
      </c>
      <c r="G7" s="13" t="s">
        <v>518</v>
      </c>
      <c r="H7" s="2" t="s">
        <v>255</v>
      </c>
      <c r="I7" s="2" t="s">
        <v>16</v>
      </c>
      <c r="J7" s="2" t="s">
        <v>115</v>
      </c>
      <c r="K7" s="2" t="s">
        <v>966</v>
      </c>
      <c r="L7" s="2"/>
      <c r="M7" s="2"/>
      <c r="N7" s="2"/>
      <c r="O7" s="13" t="s">
        <v>643</v>
      </c>
      <c r="P7" s="2"/>
      <c r="Q7" s="2"/>
    </row>
    <row r="8" spans="1:17" ht="114.75" x14ac:dyDescent="0.25">
      <c r="A8" s="17" t="s">
        <v>562</v>
      </c>
      <c r="B8" s="2" t="s">
        <v>623</v>
      </c>
      <c r="C8" s="2" t="s">
        <v>677</v>
      </c>
      <c r="D8" s="2"/>
      <c r="E8" s="2"/>
      <c r="F8" s="13" t="s">
        <v>505</v>
      </c>
      <c r="G8" s="2" t="s">
        <v>518</v>
      </c>
      <c r="H8" s="13" t="s">
        <v>261</v>
      </c>
      <c r="I8" s="2" t="s">
        <v>17</v>
      </c>
      <c r="J8" s="2" t="s">
        <v>195</v>
      </c>
      <c r="K8" s="2" t="s">
        <v>966</v>
      </c>
      <c r="L8" s="2"/>
      <c r="M8" s="2"/>
      <c r="N8" s="2"/>
      <c r="O8" s="13" t="s">
        <v>650</v>
      </c>
      <c r="P8" s="2"/>
      <c r="Q8" s="2"/>
    </row>
    <row r="9" spans="1:17" ht="80.25" customHeight="1" x14ac:dyDescent="0.25">
      <c r="A9" s="17" t="s">
        <v>617</v>
      </c>
      <c r="B9" s="2" t="s">
        <v>570</v>
      </c>
      <c r="C9" s="2" t="s">
        <v>677</v>
      </c>
      <c r="D9" s="2"/>
      <c r="E9" s="2"/>
      <c r="F9" s="2" t="s">
        <v>571</v>
      </c>
      <c r="G9" s="13" t="s">
        <v>568</v>
      </c>
      <c r="H9" s="2" t="s">
        <v>569</v>
      </c>
      <c r="I9" s="2" t="s">
        <v>17</v>
      </c>
      <c r="J9" s="2" t="s">
        <v>195</v>
      </c>
      <c r="K9" s="2" t="s">
        <v>966</v>
      </c>
      <c r="L9" s="2"/>
      <c r="M9" s="2"/>
      <c r="N9" s="2"/>
      <c r="O9" s="2" t="s">
        <v>265</v>
      </c>
      <c r="P9" s="2"/>
      <c r="Q9" s="2"/>
    </row>
    <row r="10" spans="1:17" ht="102" x14ac:dyDescent="0.25">
      <c r="A10" s="17" t="s">
        <v>622</v>
      </c>
      <c r="B10" s="13" t="s">
        <v>697</v>
      </c>
      <c r="C10" s="2" t="s">
        <v>372</v>
      </c>
      <c r="D10" s="2"/>
      <c r="E10" s="2"/>
      <c r="F10" s="13" t="s">
        <v>696</v>
      </c>
      <c r="G10" s="13" t="s">
        <v>695</v>
      </c>
      <c r="H10" s="13" t="s">
        <v>694</v>
      </c>
      <c r="I10" s="2" t="s">
        <v>15</v>
      </c>
      <c r="J10" s="2" t="s">
        <v>119</v>
      </c>
      <c r="K10" s="2" t="s">
        <v>966</v>
      </c>
      <c r="L10" s="2"/>
      <c r="M10" s="2"/>
      <c r="N10" s="2"/>
      <c r="O10" s="13" t="s">
        <v>850</v>
      </c>
      <c r="P10" s="2"/>
      <c r="Q10" s="2"/>
    </row>
    <row r="11" spans="1:17" ht="127.5" x14ac:dyDescent="0.25">
      <c r="A11" s="17" t="s">
        <v>708</v>
      </c>
      <c r="B11" s="13" t="s">
        <v>709</v>
      </c>
      <c r="C11" s="2" t="s">
        <v>555</v>
      </c>
      <c r="D11" s="2"/>
      <c r="E11" s="2"/>
      <c r="F11" s="13" t="s">
        <v>704</v>
      </c>
      <c r="G11" s="13" t="s">
        <v>710</v>
      </c>
      <c r="H11" s="13" t="s">
        <v>700</v>
      </c>
      <c r="I11" s="2" t="s">
        <v>17</v>
      </c>
      <c r="J11" s="2" t="s">
        <v>119</v>
      </c>
      <c r="K11" s="2" t="s">
        <v>966</v>
      </c>
      <c r="L11" s="2"/>
      <c r="M11" s="2"/>
      <c r="N11" s="2"/>
      <c r="O11" s="13" t="s">
        <v>860</v>
      </c>
      <c r="P11" s="2"/>
      <c r="Q11" s="2"/>
    </row>
    <row r="12" spans="1:17" ht="80.25" customHeight="1" x14ac:dyDescent="0.25">
      <c r="A12" s="17" t="s">
        <v>933</v>
      </c>
      <c r="B12" s="13" t="s">
        <v>934</v>
      </c>
      <c r="C12" s="13" t="s">
        <v>554</v>
      </c>
      <c r="D12" s="2"/>
      <c r="E12" s="2"/>
      <c r="F12" s="13" t="s">
        <v>884</v>
      </c>
      <c r="G12" s="13" t="s">
        <v>912</v>
      </c>
      <c r="H12" s="13" t="s">
        <v>893</v>
      </c>
      <c r="I12" s="2" t="s">
        <v>17</v>
      </c>
      <c r="J12" s="2" t="s">
        <v>195</v>
      </c>
      <c r="K12" s="2" t="s">
        <v>966</v>
      </c>
      <c r="L12" s="2"/>
      <c r="M12" s="2"/>
      <c r="N12" s="2"/>
      <c r="O12" s="13" t="s">
        <v>935</v>
      </c>
      <c r="P12" s="2"/>
      <c r="Q12" s="2"/>
    </row>
    <row r="13" spans="1:17" ht="80.25" customHeight="1" x14ac:dyDescent="0.25">
      <c r="A13" s="17" t="s">
        <v>936</v>
      </c>
      <c r="B13" s="13" t="s">
        <v>937</v>
      </c>
      <c r="C13" s="13" t="s">
        <v>730</v>
      </c>
      <c r="D13" s="2"/>
      <c r="E13" s="2"/>
      <c r="F13" s="13" t="s">
        <v>916</v>
      </c>
      <c r="G13" s="13" t="s">
        <v>932</v>
      </c>
      <c r="H13" s="13" t="s">
        <v>917</v>
      </c>
      <c r="I13" s="2" t="s">
        <v>17</v>
      </c>
      <c r="J13" s="2" t="s">
        <v>115</v>
      </c>
      <c r="K13" s="2" t="s">
        <v>966</v>
      </c>
      <c r="L13" s="2"/>
      <c r="M13" s="2"/>
      <c r="N13" s="2"/>
      <c r="O13" s="13" t="s">
        <v>938</v>
      </c>
      <c r="P13" s="2"/>
      <c r="Q13" s="2"/>
    </row>
    <row r="14" spans="1:17" ht="216.75" x14ac:dyDescent="0.25">
      <c r="A14" s="17" t="s">
        <v>939</v>
      </c>
      <c r="B14" s="13" t="s">
        <v>868</v>
      </c>
      <c r="C14" s="13" t="s">
        <v>796</v>
      </c>
      <c r="D14" s="2"/>
      <c r="E14" s="2"/>
      <c r="F14" s="13" t="s">
        <v>940</v>
      </c>
      <c r="G14" s="13" t="s">
        <v>941</v>
      </c>
      <c r="H14" s="13" t="s">
        <v>920</v>
      </c>
      <c r="I14" s="2" t="s">
        <v>15</v>
      </c>
      <c r="J14" s="2" t="s">
        <v>119</v>
      </c>
      <c r="K14" s="2" t="s">
        <v>966</v>
      </c>
      <c r="L14" s="2"/>
      <c r="M14" s="2"/>
      <c r="N14" s="2"/>
      <c r="O14" s="13" t="s">
        <v>942</v>
      </c>
      <c r="P14" s="2"/>
      <c r="Q14" s="2"/>
    </row>
  </sheetData>
  <autoFilter ref="A3:Q14" xr:uid="{00000000-0009-0000-0000-000006000000}"/>
  <dataValidations count="2">
    <dataValidation type="list" allowBlank="1" sqref="I6 I8:I10 I14" xr:uid="{00000000-0002-0000-0600-000000000000}">
      <formula1>"Critical,Major,Minor,Trivial"</formula1>
      <formula2>0</formula2>
    </dataValidation>
    <dataValidation type="list" allowBlank="1" sqref="J4:J14" xr:uid="{00000000-0002-0000-0600-000001000000}">
      <formula1>"High,Medium,Low"</formula1>
      <formula2>0</formula2>
    </dataValidation>
  </dataValidations>
  <pageMargins left="0.75" right="0.75" top="1" bottom="1" header="0.511811023622047" footer="0.511811023622047"/>
  <pageSetup paperSize="9" scale="31" fitToHeight="0"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Tóm tắt</vt:lpstr>
      <vt:lpstr>Nghiệp vụ</vt:lpstr>
      <vt:lpstr>Scenario</vt:lpstr>
      <vt:lpstr>Checklist</vt:lpstr>
      <vt:lpstr>Test Case</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Cong Tai Ho</cp:lastModifiedBy>
  <cp:revision>1</cp:revision>
  <cp:lastPrinted>2026-10-12T14:45:50Z</cp:lastPrinted>
  <dcterms:created xsi:type="dcterms:W3CDTF">2026-09-21T03:32:28Z</dcterms:created>
  <dcterms:modified xsi:type="dcterms:W3CDTF">2026-10-12T15:09:31Z</dcterms:modified>
  <dc:language>en-US</dc:language>
</cp:coreProperties>
</file>